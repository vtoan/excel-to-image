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namedSheetViews/namedSheetView2.xml" ContentType="application/vnd.ms-excel.namedsheetviews+xml"/>
  <Override PartName="/xl/namedSheetViews/namedSheetView.xml" ContentType="application/vnd.ms-excel.namedsheetview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Sources\py\"/>
    </mc:Choice>
  </mc:AlternateContent>
  <bookViews>
    <workbookView xWindow="0" yWindow="0" windowWidth="23040" windowHeight="9192" activeTab="1"/>
  </bookViews>
  <sheets>
    <sheet name="DS 2019" sheetId="1" r:id="rId1"/>
    <sheet name="Receipt" sheetId="3" r:id="rId2"/>
    <sheet name="DATA" sheetId="4" r:id="rId3"/>
    <sheet name="Meter" sheetId="5" r:id="rId4"/>
    <sheet name="Card" sheetId="7" r:id="rId5"/>
    <sheet name="Sheet8" sheetId="8" r:id="rId6"/>
  </sheets>
  <definedNames>
    <definedName name="CT_MTD" localSheetId="2">DATA!$A$3</definedName>
    <definedName name="_xlnm.Print_Area" localSheetId="4">Card!$A$1:$K$44</definedName>
    <definedName name="_xlnm.Print_Area" localSheetId="2">DATA!$AG$39:$AV$74</definedName>
    <definedName name="_xlnm.Print_Area" localSheetId="0">'DS 2019'!$A$1:$M$150</definedName>
    <definedName name="_xlnm.Print_Area" localSheetId="1">Receipt!$A$1:$L$24</definedName>
  </definedNames>
  <calcPr calcId="162913"/>
  <extLst>
    <x:ext xmlns:x="http://schemas.openxmlformats.org/spreadsheetml/2006/main" xmlns:xcalcf="http://schemas.microsoft.com/office/spreadsheetml/2018/calcfeatures" uri="{B58B0392-4F1F-4190-BB64-5DF3571DCE5F}">
      <xcalcf:calcFeatures>
        <xcalcf:feature name="microsoft.com:RD"/>
      </xcalcf:calcFeatures>
    </x:ext>
  </extLst>
</workbook>
</file>

<file path=xl/calcChain.xml><?xml version="1.0" encoding="utf-8"?>
<calcChain xmlns="http://schemas.openxmlformats.org/spreadsheetml/2006/main">
  <c r="H116" i="5" l="1"/>
  <c r="I116" i="5"/>
  <c r="J116" i="5"/>
  <c r="K116" i="5"/>
  <c r="L116" i="5"/>
  <c r="M116" i="5"/>
  <c r="N116" i="5"/>
  <c r="O116" i="5"/>
  <c r="P116" i="5"/>
  <c r="H117" i="5"/>
  <c r="I117" i="5"/>
  <c r="J117" i="5"/>
  <c r="K117" i="5"/>
  <c r="L117" i="5"/>
  <c r="M117" i="5"/>
  <c r="N117" i="5"/>
  <c r="O117" i="5"/>
  <c r="P117" i="5"/>
  <c r="G117" i="5"/>
  <c r="F118" i="5"/>
  <c r="F114" i="5"/>
  <c r="P127" i="5"/>
  <c r="P126" i="5"/>
  <c r="P128" i="5" s="1"/>
  <c r="G126" i="5"/>
  <c r="H126" i="5"/>
  <c r="I126" i="5"/>
  <c r="J126" i="5"/>
  <c r="K126" i="5"/>
  <c r="L126" i="5"/>
  <c r="M126" i="5"/>
  <c r="N126" i="5"/>
  <c r="O126" i="5"/>
  <c r="G127" i="5"/>
  <c r="H127" i="5"/>
  <c r="I127" i="5"/>
  <c r="I128" i="5" s="1"/>
  <c r="J127" i="5"/>
  <c r="K127" i="5"/>
  <c r="L127" i="5"/>
  <c r="M127" i="5"/>
  <c r="M128" i="5" s="1"/>
  <c r="N127" i="5"/>
  <c r="O127" i="5"/>
  <c r="F127" i="5"/>
  <c r="F126" i="5"/>
  <c r="E127" i="5"/>
  <c r="E126" i="5"/>
  <c r="K128" i="5"/>
  <c r="F128" i="5"/>
  <c r="E128" i="5"/>
  <c r="D105" i="5"/>
  <c r="P107" i="5"/>
  <c r="O107" i="5"/>
  <c r="N107" i="5"/>
  <c r="M107" i="5"/>
  <c r="L107" i="5"/>
  <c r="K107" i="5"/>
  <c r="J107" i="5"/>
  <c r="I107" i="5"/>
  <c r="H107" i="5"/>
  <c r="G107" i="5"/>
  <c r="P105" i="5"/>
  <c r="O105" i="5"/>
  <c r="N105" i="5"/>
  <c r="M105" i="5"/>
  <c r="L105" i="5"/>
  <c r="K105" i="5"/>
  <c r="J105" i="5"/>
  <c r="I105" i="5"/>
  <c r="H105" i="5"/>
  <c r="G105" i="5"/>
  <c r="F105" i="5"/>
  <c r="F107" i="5" s="1"/>
  <c r="E105" i="5"/>
  <c r="E107" i="5" s="1"/>
  <c r="E36" i="5"/>
  <c r="F36" i="5"/>
  <c r="G36" i="5"/>
  <c r="H36" i="5"/>
  <c r="I36" i="5"/>
  <c r="J36" i="5"/>
  <c r="K36" i="5"/>
  <c r="L36" i="5"/>
  <c r="M36" i="5"/>
  <c r="N36" i="5"/>
  <c r="O36" i="5"/>
  <c r="P36" i="5"/>
  <c r="P111" i="5"/>
  <c r="O111" i="5"/>
  <c r="N111" i="5"/>
  <c r="M111" i="5"/>
  <c r="L111" i="5"/>
  <c r="K111" i="5"/>
  <c r="J111" i="5"/>
  <c r="I111" i="5"/>
  <c r="H111" i="5"/>
  <c r="G111" i="5"/>
  <c r="P109" i="5"/>
  <c r="O109" i="5"/>
  <c r="N109" i="5"/>
  <c r="M109" i="5"/>
  <c r="L109" i="5"/>
  <c r="K109" i="5"/>
  <c r="J109" i="5"/>
  <c r="I109" i="5"/>
  <c r="H109" i="5"/>
  <c r="G109" i="5"/>
  <c r="F109" i="5"/>
  <c r="F111" i="5" s="1"/>
  <c r="E109" i="5"/>
  <c r="E111" i="5" s="1"/>
  <c r="G100" i="5"/>
  <c r="G98" i="5"/>
  <c r="G96" i="5"/>
  <c r="G94" i="5"/>
  <c r="G92" i="5"/>
  <c r="G90" i="5"/>
  <c r="G88" i="5"/>
  <c r="G86" i="5"/>
  <c r="G84" i="5"/>
  <c r="G82" i="5"/>
  <c r="G80" i="5"/>
  <c r="G78" i="5"/>
  <c r="G76" i="5"/>
  <c r="G74" i="5"/>
  <c r="G72" i="5"/>
  <c r="G70" i="5"/>
  <c r="G68" i="5"/>
  <c r="G66" i="5"/>
  <c r="G64" i="5"/>
  <c r="G62" i="5"/>
  <c r="G60" i="5"/>
  <c r="G58" i="5"/>
  <c r="G56" i="5"/>
  <c r="G54" i="5"/>
  <c r="G52" i="5"/>
  <c r="G50" i="5"/>
  <c r="G48" i="5"/>
  <c r="G46" i="5"/>
  <c r="G42" i="5"/>
  <c r="L128" i="5" l="1"/>
  <c r="H128" i="5"/>
  <c r="G139" i="5"/>
  <c r="O128" i="5"/>
  <c r="G128" i="5"/>
  <c r="N128" i="5"/>
  <c r="J128" i="5"/>
  <c r="H143" i="4"/>
  <c r="F124" i="4" l="1"/>
  <c r="G124" i="4"/>
  <c r="H124" i="4"/>
  <c r="I124" i="4"/>
  <c r="J124" i="4"/>
  <c r="K124" i="4"/>
  <c r="L124" i="4"/>
  <c r="M124" i="4"/>
  <c r="N124" i="4"/>
  <c r="O124" i="4"/>
  <c r="P124" i="4"/>
  <c r="Q124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F130" i="4"/>
  <c r="F165" i="4" s="1"/>
  <c r="G130" i="4"/>
  <c r="G165" i="4" s="1"/>
  <c r="H130" i="4"/>
  <c r="H165" i="4" s="1"/>
  <c r="H167" i="4" s="1"/>
  <c r="I130" i="4"/>
  <c r="I165" i="4" s="1"/>
  <c r="I167" i="4" s="1"/>
  <c r="J130" i="4"/>
  <c r="J165" i="4" s="1"/>
  <c r="J167" i="4" s="1"/>
  <c r="K130" i="4"/>
  <c r="K165" i="4" s="1"/>
  <c r="K167" i="4" s="1"/>
  <c r="L130" i="4"/>
  <c r="L165" i="4" s="1"/>
  <c r="L167" i="4" s="1"/>
  <c r="M130" i="4"/>
  <c r="M165" i="4" s="1"/>
  <c r="M167" i="4" s="1"/>
  <c r="N130" i="4"/>
  <c r="N165" i="4" s="1"/>
  <c r="N167" i="4" s="1"/>
  <c r="O130" i="4"/>
  <c r="O165" i="4" s="1"/>
  <c r="O167" i="4" s="1"/>
  <c r="P130" i="4"/>
  <c r="P165" i="4" s="1"/>
  <c r="P167" i="4" s="1"/>
  <c r="Q130" i="4"/>
  <c r="Q165" i="4" s="1"/>
  <c r="Q167" i="4" s="1"/>
  <c r="F131" i="4"/>
  <c r="F148" i="4" s="1"/>
  <c r="G131" i="4"/>
  <c r="G148" i="4" s="1"/>
  <c r="H131" i="4"/>
  <c r="H148" i="4" s="1"/>
  <c r="H177" i="4" s="1"/>
  <c r="I131" i="4"/>
  <c r="I148" i="4" s="1"/>
  <c r="J131" i="4"/>
  <c r="J148" i="4" s="1"/>
  <c r="K131" i="4"/>
  <c r="K148" i="4" s="1"/>
  <c r="L131" i="4"/>
  <c r="L148" i="4" s="1"/>
  <c r="M131" i="4"/>
  <c r="M148" i="4" s="1"/>
  <c r="N131" i="4"/>
  <c r="N148" i="4" s="1"/>
  <c r="O131" i="4"/>
  <c r="O148" i="4" s="1"/>
  <c r="P131" i="4"/>
  <c r="P148" i="4" s="1"/>
  <c r="Q131" i="4"/>
  <c r="Q148" i="4" s="1"/>
  <c r="F132" i="4"/>
  <c r="G132" i="4"/>
  <c r="H132" i="4"/>
  <c r="I132" i="4"/>
  <c r="J132" i="4"/>
  <c r="K132" i="4"/>
  <c r="L132" i="4"/>
  <c r="M132" i="4"/>
  <c r="N132" i="4"/>
  <c r="O132" i="4"/>
  <c r="P132" i="4"/>
  <c r="Q132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F134" i="4"/>
  <c r="F168" i="4" s="1"/>
  <c r="G134" i="4"/>
  <c r="G168" i="4" s="1"/>
  <c r="H134" i="4"/>
  <c r="H168" i="4" s="1"/>
  <c r="H170" i="4" s="1"/>
  <c r="I134" i="4"/>
  <c r="I168" i="4" s="1"/>
  <c r="I170" i="4" s="1"/>
  <c r="J134" i="4"/>
  <c r="J168" i="4" s="1"/>
  <c r="J170" i="4" s="1"/>
  <c r="K134" i="4"/>
  <c r="K168" i="4" s="1"/>
  <c r="K170" i="4" s="1"/>
  <c r="L134" i="4"/>
  <c r="L168" i="4" s="1"/>
  <c r="L170" i="4" s="1"/>
  <c r="M134" i="4"/>
  <c r="M168" i="4" s="1"/>
  <c r="M170" i="4" s="1"/>
  <c r="N134" i="4"/>
  <c r="N168" i="4" s="1"/>
  <c r="N170" i="4" s="1"/>
  <c r="O134" i="4"/>
  <c r="O168" i="4" s="1"/>
  <c r="O170" i="4" s="1"/>
  <c r="P134" i="4"/>
  <c r="P168" i="4" s="1"/>
  <c r="P170" i="4" s="1"/>
  <c r="Q134" i="4"/>
  <c r="Q168" i="4" s="1"/>
  <c r="Q170" i="4" s="1"/>
  <c r="F135" i="4"/>
  <c r="G135" i="4"/>
  <c r="H135" i="4"/>
  <c r="I135" i="4"/>
  <c r="J135" i="4"/>
  <c r="K135" i="4"/>
  <c r="L135" i="4"/>
  <c r="M135" i="4"/>
  <c r="N135" i="4"/>
  <c r="O135" i="4"/>
  <c r="P135" i="4"/>
  <c r="Q135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G123" i="4"/>
  <c r="G142" i="4" s="1"/>
  <c r="G160" i="4" s="1"/>
  <c r="H123" i="4"/>
  <c r="H142" i="4" s="1"/>
  <c r="H160" i="4" s="1"/>
  <c r="I123" i="4"/>
  <c r="I142" i="4" s="1"/>
  <c r="I160" i="4" s="1"/>
  <c r="J123" i="4"/>
  <c r="J142" i="4" s="1"/>
  <c r="J160" i="4" s="1"/>
  <c r="K123" i="4"/>
  <c r="K142" i="4" s="1"/>
  <c r="K160" i="4" s="1"/>
  <c r="L123" i="4"/>
  <c r="L142" i="4" s="1"/>
  <c r="L160" i="4" s="1"/>
  <c r="M123" i="4"/>
  <c r="M142" i="4" s="1"/>
  <c r="M160" i="4" s="1"/>
  <c r="N123" i="4"/>
  <c r="N142" i="4" s="1"/>
  <c r="N160" i="4" s="1"/>
  <c r="O123" i="4"/>
  <c r="O142" i="4" s="1"/>
  <c r="O160" i="4" s="1"/>
  <c r="P123" i="4"/>
  <c r="P142" i="4" s="1"/>
  <c r="P160" i="4" s="1"/>
  <c r="Q123" i="4"/>
  <c r="Q142" i="4" s="1"/>
  <c r="Q160" i="4" s="1"/>
  <c r="F123" i="4"/>
  <c r="F142" i="4" s="1"/>
  <c r="F160" i="4" s="1"/>
  <c r="G155" i="4" l="1"/>
  <c r="N180" i="4"/>
  <c r="N182" i="4" s="1"/>
  <c r="J180" i="4"/>
  <c r="J182" i="4" s="1"/>
  <c r="F180" i="4"/>
  <c r="N155" i="4"/>
  <c r="J155" i="4"/>
  <c r="F155" i="4"/>
  <c r="O180" i="4"/>
  <c r="O182" i="4" s="1"/>
  <c r="G180" i="4"/>
  <c r="O155" i="4"/>
  <c r="Q180" i="4"/>
  <c r="Q182" i="4" s="1"/>
  <c r="M180" i="4"/>
  <c r="M182" i="4" s="1"/>
  <c r="I180" i="4"/>
  <c r="I182" i="4" s="1"/>
  <c r="Q155" i="4"/>
  <c r="M155" i="4"/>
  <c r="I155" i="4"/>
  <c r="K180" i="4"/>
  <c r="K182" i="4" s="1"/>
  <c r="K155" i="4"/>
  <c r="P180" i="4"/>
  <c r="P182" i="4" s="1"/>
  <c r="L180" i="4"/>
  <c r="L182" i="4" s="1"/>
  <c r="H180" i="4"/>
  <c r="H182" i="4" s="1"/>
  <c r="P155" i="4"/>
  <c r="L155" i="4"/>
  <c r="H155" i="4"/>
  <c r="E168" i="4"/>
  <c r="E165" i="4"/>
  <c r="E160" i="4"/>
  <c r="M141" i="4"/>
  <c r="M159" i="4"/>
  <c r="M176" i="4" s="1"/>
  <c r="P141" i="4"/>
  <c r="P159" i="4"/>
  <c r="P176" i="4" s="1"/>
  <c r="L141" i="4"/>
  <c r="L159" i="4"/>
  <c r="L176" i="4" s="1"/>
  <c r="H141" i="4"/>
  <c r="H159" i="4"/>
  <c r="H176" i="4" s="1"/>
  <c r="Q141" i="4"/>
  <c r="Q159" i="4"/>
  <c r="Q176" i="4" s="1"/>
  <c r="I141" i="4"/>
  <c r="I159" i="4"/>
  <c r="I176" i="4" s="1"/>
  <c r="O141" i="4"/>
  <c r="O159" i="4"/>
  <c r="O176" i="4" s="1"/>
  <c r="K141" i="4"/>
  <c r="K159" i="4"/>
  <c r="K176" i="4" s="1"/>
  <c r="G141" i="4"/>
  <c r="G159" i="4"/>
  <c r="N141" i="4"/>
  <c r="N159" i="4"/>
  <c r="N176" i="4" s="1"/>
  <c r="J159" i="4"/>
  <c r="J176" i="4" s="1"/>
  <c r="J141" i="4"/>
  <c r="F141" i="4"/>
  <c r="F159" i="4"/>
  <c r="H171" i="4"/>
  <c r="H173" i="4" s="1"/>
  <c r="N162" i="4"/>
  <c r="N164" i="4" s="1"/>
  <c r="Q162" i="4"/>
  <c r="Q164" i="4" s="1"/>
  <c r="M162" i="4"/>
  <c r="M164" i="4" s="1"/>
  <c r="I162" i="4"/>
  <c r="I164" i="4" s="1"/>
  <c r="F162" i="4"/>
  <c r="P162" i="4"/>
  <c r="P164" i="4" s="1"/>
  <c r="L162" i="4"/>
  <c r="L164" i="4" s="1"/>
  <c r="H162" i="4"/>
  <c r="H164" i="4" s="1"/>
  <c r="J162" i="4"/>
  <c r="J164" i="4" s="1"/>
  <c r="O162" i="4"/>
  <c r="O164" i="4" s="1"/>
  <c r="K162" i="4"/>
  <c r="K164" i="4" s="1"/>
  <c r="G162" i="4"/>
  <c r="E86" i="4"/>
  <c r="G133" i="5"/>
  <c r="H88" i="4" s="1"/>
  <c r="H174" i="4" l="1"/>
  <c r="H139" i="4"/>
  <c r="E159" i="4"/>
  <c r="E162" i="4"/>
  <c r="F176" i="4"/>
  <c r="G176" i="4"/>
  <c r="E120" i="5"/>
  <c r="E114" i="5"/>
  <c r="E176" i="4" l="1"/>
  <c r="F120" i="5"/>
  <c r="F119" i="5"/>
  <c r="C10" i="3" l="1"/>
  <c r="N6" i="7" l="1"/>
  <c r="N5" i="7" l="1"/>
  <c r="N7" i="7"/>
  <c r="K28" i="7" l="1"/>
  <c r="E28" i="7"/>
  <c r="K6" i="7"/>
  <c r="E6" i="7"/>
  <c r="GY9" i="4" l="1"/>
  <c r="GY10" i="4"/>
  <c r="GZ10" i="4"/>
  <c r="HA10" i="4"/>
  <c r="HB10" i="4"/>
  <c r="GY11" i="4"/>
  <c r="GZ11" i="4"/>
  <c r="HA11" i="4"/>
  <c r="HB11" i="4"/>
  <c r="GY12" i="4"/>
  <c r="GZ12" i="4"/>
  <c r="HA12" i="4"/>
  <c r="HB12" i="4"/>
  <c r="GY13" i="4"/>
  <c r="GZ13" i="4"/>
  <c r="HA13" i="4"/>
  <c r="HB13" i="4"/>
  <c r="GY14" i="4"/>
  <c r="GZ14" i="4"/>
  <c r="HA14" i="4"/>
  <c r="HB14" i="4"/>
  <c r="GY15" i="4"/>
  <c r="GZ15" i="4"/>
  <c r="HA15" i="4"/>
  <c r="HB15" i="4"/>
  <c r="GY16" i="4"/>
  <c r="GZ16" i="4"/>
  <c r="HA16" i="4"/>
  <c r="HB16" i="4"/>
  <c r="GY17" i="4"/>
  <c r="GZ17" i="4"/>
  <c r="HA17" i="4"/>
  <c r="HB17" i="4"/>
  <c r="GY18" i="4"/>
  <c r="GZ18" i="4"/>
  <c r="HA18" i="4"/>
  <c r="HB18" i="4"/>
  <c r="GY19" i="4"/>
  <c r="GZ19" i="4"/>
  <c r="HA19" i="4"/>
  <c r="HB19" i="4"/>
  <c r="GY20" i="4"/>
  <c r="GZ20" i="4"/>
  <c r="HA20" i="4"/>
  <c r="HB20" i="4"/>
  <c r="GY21" i="4"/>
  <c r="GZ21" i="4"/>
  <c r="HA21" i="4"/>
  <c r="HB21" i="4"/>
  <c r="GY22" i="4"/>
  <c r="GZ22" i="4"/>
  <c r="HA22" i="4"/>
  <c r="HB22" i="4"/>
  <c r="GY23" i="4"/>
  <c r="GZ23" i="4"/>
  <c r="HA23" i="4"/>
  <c r="HB23" i="4"/>
  <c r="GY24" i="4"/>
  <c r="GZ24" i="4"/>
  <c r="HA24" i="4"/>
  <c r="HB24" i="4"/>
  <c r="GY25" i="4"/>
  <c r="GZ25" i="4"/>
  <c r="HA25" i="4"/>
  <c r="HB25" i="4"/>
  <c r="GY26" i="4"/>
  <c r="GZ26" i="4"/>
  <c r="HA26" i="4"/>
  <c r="HB26" i="4"/>
  <c r="GY27" i="4"/>
  <c r="GZ27" i="4"/>
  <c r="HA27" i="4"/>
  <c r="HB27" i="4"/>
  <c r="GY28" i="4"/>
  <c r="GZ28" i="4"/>
  <c r="HA28" i="4"/>
  <c r="HB28" i="4"/>
  <c r="GY29" i="4"/>
  <c r="GZ29" i="4"/>
  <c r="HA29" i="4"/>
  <c r="HB29" i="4"/>
  <c r="GY30" i="4"/>
  <c r="GZ30" i="4"/>
  <c r="HA30" i="4"/>
  <c r="HB30" i="4"/>
  <c r="GY31" i="4"/>
  <c r="GZ31" i="4"/>
  <c r="HA31" i="4"/>
  <c r="HB31" i="4"/>
  <c r="GY32" i="4"/>
  <c r="GZ32" i="4"/>
  <c r="HA32" i="4"/>
  <c r="HB32" i="4"/>
  <c r="GY33" i="4"/>
  <c r="GZ33" i="4"/>
  <c r="HA33" i="4"/>
  <c r="HB33" i="4"/>
  <c r="GY34" i="4"/>
  <c r="GZ34" i="4"/>
  <c r="HA34" i="4"/>
  <c r="HB34" i="4"/>
  <c r="GY35" i="4"/>
  <c r="GZ35" i="4"/>
  <c r="HA35" i="4"/>
  <c r="HB35" i="4"/>
  <c r="GY36" i="4"/>
  <c r="GZ36" i="4"/>
  <c r="HA36" i="4"/>
  <c r="HB36" i="4"/>
  <c r="GY37" i="4"/>
  <c r="GZ37" i="4"/>
  <c r="HA37" i="4"/>
  <c r="HB37" i="4"/>
  <c r="HA9" i="4"/>
  <c r="HB9" i="4"/>
  <c r="GZ9" i="4"/>
  <c r="AH37" i="4" l="1"/>
  <c r="AH36" i="4"/>
  <c r="AH35" i="4"/>
  <c r="AH34" i="4"/>
  <c r="AH33" i="4"/>
  <c r="AH32" i="4"/>
  <c r="AH31" i="4"/>
  <c r="AH30" i="4"/>
  <c r="AH29" i="4"/>
  <c r="AH28" i="4"/>
  <c r="AH27" i="4"/>
  <c r="AH26" i="4"/>
  <c r="AH25" i="4"/>
  <c r="AH24" i="4"/>
  <c r="AH23" i="4"/>
  <c r="AH22" i="4"/>
  <c r="AH21" i="4"/>
  <c r="AH20" i="4"/>
  <c r="AH19" i="4"/>
  <c r="AH18" i="4"/>
  <c r="AH17" i="4"/>
  <c r="AH16" i="4"/>
  <c r="AH15" i="4"/>
  <c r="AH14" i="4"/>
  <c r="AH13" i="4"/>
  <c r="AH12" i="4"/>
  <c r="AH11" i="4"/>
  <c r="AH10" i="4"/>
  <c r="AH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P100" i="5" l="1"/>
  <c r="O100" i="5"/>
  <c r="N100" i="5"/>
  <c r="M100" i="5"/>
  <c r="L100" i="5"/>
  <c r="K100" i="5"/>
  <c r="J100" i="5"/>
  <c r="I100" i="5"/>
  <c r="H100" i="5"/>
  <c r="P98" i="5"/>
  <c r="O98" i="5"/>
  <c r="N98" i="5"/>
  <c r="M98" i="5"/>
  <c r="L98" i="5"/>
  <c r="K98" i="5"/>
  <c r="J98" i="5"/>
  <c r="I98" i="5"/>
  <c r="H98" i="5"/>
  <c r="F98" i="5"/>
  <c r="F100" i="5" s="1"/>
  <c r="E98" i="5"/>
  <c r="E100" i="5" s="1"/>
  <c r="P96" i="5"/>
  <c r="O96" i="5"/>
  <c r="N96" i="5"/>
  <c r="M96" i="5"/>
  <c r="L96" i="5"/>
  <c r="K96" i="5"/>
  <c r="J96" i="5"/>
  <c r="I96" i="5"/>
  <c r="H96" i="5"/>
  <c r="P94" i="5"/>
  <c r="O94" i="5"/>
  <c r="N94" i="5"/>
  <c r="M94" i="5"/>
  <c r="L94" i="5"/>
  <c r="K94" i="5"/>
  <c r="J94" i="5"/>
  <c r="I94" i="5"/>
  <c r="H94" i="5"/>
  <c r="F94" i="5"/>
  <c r="F96" i="5" s="1"/>
  <c r="E94" i="5"/>
  <c r="E96" i="5" s="1"/>
  <c r="P92" i="5"/>
  <c r="O92" i="5"/>
  <c r="N92" i="5"/>
  <c r="M92" i="5"/>
  <c r="L92" i="5"/>
  <c r="K92" i="5"/>
  <c r="J92" i="5"/>
  <c r="I92" i="5"/>
  <c r="H92" i="5"/>
  <c r="P90" i="5"/>
  <c r="Q143" i="4" s="1"/>
  <c r="O90" i="5"/>
  <c r="P143" i="4" s="1"/>
  <c r="N90" i="5"/>
  <c r="O143" i="4" s="1"/>
  <c r="M90" i="5"/>
  <c r="N143" i="4" s="1"/>
  <c r="L90" i="5"/>
  <c r="M143" i="4" s="1"/>
  <c r="K90" i="5"/>
  <c r="L143" i="4" s="1"/>
  <c r="J90" i="5"/>
  <c r="K143" i="4" s="1"/>
  <c r="I90" i="5"/>
  <c r="J143" i="4" s="1"/>
  <c r="H90" i="5"/>
  <c r="I143" i="4" s="1"/>
  <c r="F90" i="5"/>
  <c r="G143" i="4" s="1"/>
  <c r="E90" i="5"/>
  <c r="F143" i="4" s="1"/>
  <c r="P88" i="5"/>
  <c r="O88" i="5"/>
  <c r="N88" i="5"/>
  <c r="M88" i="5"/>
  <c r="L88" i="5"/>
  <c r="K88" i="5"/>
  <c r="J88" i="5"/>
  <c r="I88" i="5"/>
  <c r="H88" i="5"/>
  <c r="P86" i="5"/>
  <c r="O86" i="5"/>
  <c r="N86" i="5"/>
  <c r="M86" i="5"/>
  <c r="L86" i="5"/>
  <c r="K86" i="5"/>
  <c r="J86" i="5"/>
  <c r="I86" i="5"/>
  <c r="H86" i="5"/>
  <c r="F86" i="5"/>
  <c r="F88" i="5" s="1"/>
  <c r="E86" i="5"/>
  <c r="E88" i="5" s="1"/>
  <c r="P84" i="5"/>
  <c r="O84" i="5"/>
  <c r="N84" i="5"/>
  <c r="M84" i="5"/>
  <c r="L84" i="5"/>
  <c r="K84" i="5"/>
  <c r="J84" i="5"/>
  <c r="I84" i="5"/>
  <c r="H84" i="5"/>
  <c r="P82" i="5"/>
  <c r="O82" i="5"/>
  <c r="N82" i="5"/>
  <c r="M82" i="5"/>
  <c r="L82" i="5"/>
  <c r="K82" i="5"/>
  <c r="J82" i="5"/>
  <c r="I82" i="5"/>
  <c r="H82" i="5"/>
  <c r="F82" i="5"/>
  <c r="F84" i="5" s="1"/>
  <c r="E82" i="5"/>
  <c r="E84" i="5" s="1"/>
  <c r="P80" i="5"/>
  <c r="O80" i="5"/>
  <c r="N80" i="5"/>
  <c r="M80" i="5"/>
  <c r="L80" i="5"/>
  <c r="K80" i="5"/>
  <c r="J80" i="5"/>
  <c r="I80" i="5"/>
  <c r="H80" i="5"/>
  <c r="P78" i="5"/>
  <c r="O78" i="5"/>
  <c r="N78" i="5"/>
  <c r="M78" i="5"/>
  <c r="L78" i="5"/>
  <c r="K78" i="5"/>
  <c r="J78" i="5"/>
  <c r="I78" i="5"/>
  <c r="H78" i="5"/>
  <c r="F78" i="5"/>
  <c r="F80" i="5" s="1"/>
  <c r="E78" i="5"/>
  <c r="E80" i="5" s="1"/>
  <c r="P76" i="5"/>
  <c r="O76" i="5"/>
  <c r="N76" i="5"/>
  <c r="M76" i="5"/>
  <c r="L76" i="5"/>
  <c r="K76" i="5"/>
  <c r="J76" i="5"/>
  <c r="I76" i="5"/>
  <c r="H76" i="5"/>
  <c r="P74" i="5"/>
  <c r="O74" i="5"/>
  <c r="N74" i="5"/>
  <c r="M74" i="5"/>
  <c r="L74" i="5"/>
  <c r="K74" i="5"/>
  <c r="J74" i="5"/>
  <c r="I74" i="5"/>
  <c r="H74" i="5"/>
  <c r="F74" i="5"/>
  <c r="F76" i="5" s="1"/>
  <c r="E74" i="5"/>
  <c r="E76" i="5" s="1"/>
  <c r="P72" i="5"/>
  <c r="O72" i="5"/>
  <c r="N72" i="5"/>
  <c r="M72" i="5"/>
  <c r="L72" i="5"/>
  <c r="K72" i="5"/>
  <c r="J72" i="5"/>
  <c r="I72" i="5"/>
  <c r="H72" i="5"/>
  <c r="P70" i="5"/>
  <c r="O70" i="5"/>
  <c r="N70" i="5"/>
  <c r="M70" i="5"/>
  <c r="L70" i="5"/>
  <c r="K70" i="5"/>
  <c r="J70" i="5"/>
  <c r="I70" i="5"/>
  <c r="H70" i="5"/>
  <c r="F70" i="5"/>
  <c r="F72" i="5" s="1"/>
  <c r="E70" i="5"/>
  <c r="E72" i="5" s="1"/>
  <c r="P68" i="5"/>
  <c r="O68" i="5"/>
  <c r="N68" i="5"/>
  <c r="M68" i="5"/>
  <c r="L68" i="5"/>
  <c r="K68" i="5"/>
  <c r="J68" i="5"/>
  <c r="I68" i="5"/>
  <c r="H68" i="5"/>
  <c r="P66" i="5"/>
  <c r="O66" i="5"/>
  <c r="N66" i="5"/>
  <c r="M66" i="5"/>
  <c r="L66" i="5"/>
  <c r="K66" i="5"/>
  <c r="J66" i="5"/>
  <c r="I66" i="5"/>
  <c r="H66" i="5"/>
  <c r="F66" i="5"/>
  <c r="F68" i="5" s="1"/>
  <c r="E66" i="5"/>
  <c r="E68" i="5" s="1"/>
  <c r="P64" i="5"/>
  <c r="O64" i="5"/>
  <c r="N64" i="5"/>
  <c r="M64" i="5"/>
  <c r="L64" i="5"/>
  <c r="K64" i="5"/>
  <c r="J64" i="5"/>
  <c r="I64" i="5"/>
  <c r="H64" i="5"/>
  <c r="P62" i="5"/>
  <c r="O62" i="5"/>
  <c r="N62" i="5"/>
  <c r="M62" i="5"/>
  <c r="L62" i="5"/>
  <c r="K62" i="5"/>
  <c r="J62" i="5"/>
  <c r="I62" i="5"/>
  <c r="H62" i="5"/>
  <c r="F62" i="5"/>
  <c r="F64" i="5" s="1"/>
  <c r="E62" i="5"/>
  <c r="E64" i="5" s="1"/>
  <c r="P60" i="5"/>
  <c r="O60" i="5"/>
  <c r="N60" i="5"/>
  <c r="M60" i="5"/>
  <c r="L60" i="5"/>
  <c r="K60" i="5"/>
  <c r="J60" i="5"/>
  <c r="I60" i="5"/>
  <c r="H60" i="5"/>
  <c r="P58" i="5"/>
  <c r="O58" i="5"/>
  <c r="N58" i="5"/>
  <c r="M58" i="5"/>
  <c r="L58" i="5"/>
  <c r="K58" i="5"/>
  <c r="J58" i="5"/>
  <c r="I58" i="5"/>
  <c r="H58" i="5"/>
  <c r="F58" i="5"/>
  <c r="F60" i="5" s="1"/>
  <c r="E58" i="5"/>
  <c r="E60" i="5" s="1"/>
  <c r="P56" i="5"/>
  <c r="O56" i="5"/>
  <c r="N56" i="5"/>
  <c r="M56" i="5"/>
  <c r="L56" i="5"/>
  <c r="K56" i="5"/>
  <c r="J56" i="5"/>
  <c r="I56" i="5"/>
  <c r="H56" i="5"/>
  <c r="P54" i="5"/>
  <c r="O54" i="5"/>
  <c r="N54" i="5"/>
  <c r="M54" i="5"/>
  <c r="L54" i="5"/>
  <c r="K54" i="5"/>
  <c r="J54" i="5"/>
  <c r="I54" i="5"/>
  <c r="H54" i="5"/>
  <c r="F54" i="5"/>
  <c r="F56" i="5" s="1"/>
  <c r="E54" i="5"/>
  <c r="E56" i="5" s="1"/>
  <c r="P52" i="5"/>
  <c r="O52" i="5"/>
  <c r="N52" i="5"/>
  <c r="M52" i="5"/>
  <c r="L52" i="5"/>
  <c r="K52" i="5"/>
  <c r="J52" i="5"/>
  <c r="I52" i="5"/>
  <c r="H52" i="5"/>
  <c r="P50" i="5"/>
  <c r="O50" i="5"/>
  <c r="N50" i="5"/>
  <c r="M50" i="5"/>
  <c r="L50" i="5"/>
  <c r="K50" i="5"/>
  <c r="J50" i="5"/>
  <c r="I50" i="5"/>
  <c r="H50" i="5"/>
  <c r="F50" i="5"/>
  <c r="F52" i="5" s="1"/>
  <c r="E50" i="5"/>
  <c r="E52" i="5" s="1"/>
  <c r="P48" i="5"/>
  <c r="O48" i="5"/>
  <c r="N48" i="5"/>
  <c r="M48" i="5"/>
  <c r="L48" i="5"/>
  <c r="K48" i="5"/>
  <c r="J48" i="5"/>
  <c r="I48" i="5"/>
  <c r="H48" i="5"/>
  <c r="P46" i="5"/>
  <c r="P139" i="5" s="1"/>
  <c r="O46" i="5"/>
  <c r="N46" i="5"/>
  <c r="M46" i="5"/>
  <c r="L46" i="5"/>
  <c r="L139" i="5" s="1"/>
  <c r="K46" i="5"/>
  <c r="J46" i="5"/>
  <c r="I46" i="5"/>
  <c r="I139" i="5" s="1"/>
  <c r="H46" i="5"/>
  <c r="F46" i="5"/>
  <c r="E46" i="5"/>
  <c r="K139" i="5" l="1"/>
  <c r="O139" i="5"/>
  <c r="H133" i="5"/>
  <c r="I139" i="4" s="1"/>
  <c r="H139" i="5"/>
  <c r="F48" i="5"/>
  <c r="F139" i="5"/>
  <c r="M139" i="5"/>
  <c r="E48" i="5"/>
  <c r="E139" i="5"/>
  <c r="J139" i="5"/>
  <c r="N139" i="5"/>
  <c r="M177" i="4"/>
  <c r="M171" i="4"/>
  <c r="M173" i="4" s="1"/>
  <c r="Q171" i="4"/>
  <c r="Q173" i="4" s="1"/>
  <c r="Q177" i="4"/>
  <c r="L133" i="5"/>
  <c r="P133" i="5"/>
  <c r="J171" i="4"/>
  <c r="J173" i="4" s="1"/>
  <c r="J177" i="4"/>
  <c r="N171" i="4"/>
  <c r="N173" i="4" s="1"/>
  <c r="N177" i="4"/>
  <c r="E92" i="5"/>
  <c r="I133" i="5"/>
  <c r="M133" i="5"/>
  <c r="F161" i="4"/>
  <c r="F177" i="4"/>
  <c r="F171" i="4"/>
  <c r="K171" i="4"/>
  <c r="K173" i="4" s="1"/>
  <c r="K177" i="4"/>
  <c r="O171" i="4"/>
  <c r="O173" i="4" s="1"/>
  <c r="O177" i="4"/>
  <c r="F92" i="5"/>
  <c r="E133" i="5"/>
  <c r="J133" i="5"/>
  <c r="N133" i="5"/>
  <c r="G161" i="4"/>
  <c r="G171" i="4"/>
  <c r="G177" i="4"/>
  <c r="L177" i="4"/>
  <c r="L171" i="4"/>
  <c r="L173" i="4" s="1"/>
  <c r="P177" i="4"/>
  <c r="P171" i="4"/>
  <c r="P173" i="4" s="1"/>
  <c r="F133" i="5"/>
  <c r="K133" i="5"/>
  <c r="O133" i="5"/>
  <c r="I177" i="4"/>
  <c r="I171" i="4"/>
  <c r="I174" i="4" l="1"/>
  <c r="I88" i="4"/>
  <c r="L174" i="4"/>
  <c r="L179" i="4" s="1"/>
  <c r="L139" i="4"/>
  <c r="L88" i="4"/>
  <c r="O174" i="4"/>
  <c r="O179" i="4" s="1"/>
  <c r="O139" i="4"/>
  <c r="O88" i="4"/>
  <c r="J174" i="4"/>
  <c r="J179" i="4" s="1"/>
  <c r="J139" i="4"/>
  <c r="J88" i="4"/>
  <c r="G174" i="4"/>
  <c r="G139" i="4"/>
  <c r="G88" i="4"/>
  <c r="E177" i="4"/>
  <c r="K174" i="4"/>
  <c r="K179" i="4" s="1"/>
  <c r="K139" i="4"/>
  <c r="K88" i="4"/>
  <c r="P174" i="4"/>
  <c r="P179" i="4" s="1"/>
  <c r="P139" i="4"/>
  <c r="P88" i="4"/>
  <c r="F174" i="4"/>
  <c r="F139" i="4"/>
  <c r="F88" i="4"/>
  <c r="Q174" i="4"/>
  <c r="Q179" i="4" s="1"/>
  <c r="Q139" i="4"/>
  <c r="Q88" i="4"/>
  <c r="N174" i="4"/>
  <c r="N179" i="4" s="1"/>
  <c r="N139" i="4"/>
  <c r="N88" i="4"/>
  <c r="M174" i="4"/>
  <c r="M179" i="4" s="1"/>
  <c r="M139" i="4"/>
  <c r="M88" i="4"/>
  <c r="I173" i="4"/>
  <c r="E171" i="4"/>
  <c r="I179" i="4"/>
  <c r="E174" i="4" l="1"/>
  <c r="AH69" i="4"/>
  <c r="AH68" i="4"/>
  <c r="AH67" i="4"/>
  <c r="AH66" i="4"/>
  <c r="AH65" i="4"/>
  <c r="AH64" i="4"/>
  <c r="AH63" i="4"/>
  <c r="AH62" i="4"/>
  <c r="AH61" i="4"/>
  <c r="AH60" i="4"/>
  <c r="AH59" i="4"/>
  <c r="AH58" i="4"/>
  <c r="AH57" i="4"/>
  <c r="AH56" i="4"/>
  <c r="AH55" i="4"/>
  <c r="AH54" i="4"/>
  <c r="AH53" i="4"/>
  <c r="AH52" i="4"/>
  <c r="AH51" i="4"/>
  <c r="AH50" i="4"/>
  <c r="AH49" i="4"/>
  <c r="AH48" i="4"/>
  <c r="AH47" i="4"/>
  <c r="AH46" i="4"/>
  <c r="AH45" i="4"/>
  <c r="AH44" i="4"/>
  <c r="AH43" i="4"/>
  <c r="AH42" i="4"/>
  <c r="AH41" i="4"/>
  <c r="AV70" i="4"/>
  <c r="V67" i="4" l="1"/>
  <c r="U67" i="4"/>
  <c r="T67" i="4"/>
  <c r="E88" i="4"/>
  <c r="FW38" i="4"/>
  <c r="Q80" i="4" s="1"/>
  <c r="FV38" i="4"/>
  <c r="P80" i="4" s="1"/>
  <c r="FU38" i="4"/>
  <c r="O80" i="4" s="1"/>
  <c r="FT38" i="4"/>
  <c r="N80" i="4" s="1"/>
  <c r="FS38" i="4"/>
  <c r="M80" i="4" s="1"/>
  <c r="FR38" i="4"/>
  <c r="L80" i="4" s="1"/>
  <c r="FQ38" i="4"/>
  <c r="K80" i="4" s="1"/>
  <c r="FP38" i="4"/>
  <c r="J80" i="4" s="1"/>
  <c r="FO38" i="4"/>
  <c r="I80" i="4" s="1"/>
  <c r="FN38" i="4"/>
  <c r="H80" i="4" s="1"/>
  <c r="FM38" i="4"/>
  <c r="G80" i="4" s="1"/>
  <c r="FL38" i="4"/>
  <c r="F80" i="4" s="1"/>
  <c r="FJ38" i="4"/>
  <c r="Q79" i="4" s="1"/>
  <c r="FI38" i="4"/>
  <c r="P79" i="4" s="1"/>
  <c r="FH38" i="4"/>
  <c r="O79" i="4" s="1"/>
  <c r="FG38" i="4"/>
  <c r="N79" i="4" s="1"/>
  <c r="FF38" i="4"/>
  <c r="M79" i="4" s="1"/>
  <c r="FE38" i="4"/>
  <c r="L79" i="4" s="1"/>
  <c r="FD38" i="4"/>
  <c r="K79" i="4" s="1"/>
  <c r="FC38" i="4"/>
  <c r="J79" i="4" s="1"/>
  <c r="FB38" i="4"/>
  <c r="I79" i="4" s="1"/>
  <c r="FA38" i="4"/>
  <c r="H79" i="4" s="1"/>
  <c r="EZ38" i="4"/>
  <c r="G79" i="4" s="1"/>
  <c r="EY38" i="4"/>
  <c r="F79" i="4" s="1"/>
  <c r="EW38" i="4"/>
  <c r="Q78" i="4" s="1"/>
  <c r="EV38" i="4"/>
  <c r="P78" i="4" s="1"/>
  <c r="EU38" i="4"/>
  <c r="O78" i="4" s="1"/>
  <c r="ET38" i="4"/>
  <c r="N78" i="4" s="1"/>
  <c r="ES38" i="4"/>
  <c r="M78" i="4" s="1"/>
  <c r="ER38" i="4"/>
  <c r="L78" i="4" s="1"/>
  <c r="EQ38" i="4"/>
  <c r="K78" i="4" s="1"/>
  <c r="EP38" i="4"/>
  <c r="J78" i="4" s="1"/>
  <c r="EO38" i="4"/>
  <c r="I78" i="4" s="1"/>
  <c r="EN38" i="4"/>
  <c r="H78" i="4" s="1"/>
  <c r="EM38" i="4"/>
  <c r="G78" i="4" s="1"/>
  <c r="EL38" i="4"/>
  <c r="F78" i="4" s="1"/>
  <c r="EJ38" i="4"/>
  <c r="Q77" i="4" s="1"/>
  <c r="EI38" i="4"/>
  <c r="P77" i="4" s="1"/>
  <c r="EH38" i="4"/>
  <c r="O77" i="4" s="1"/>
  <c r="EG38" i="4"/>
  <c r="N77" i="4" s="1"/>
  <c r="EF38" i="4"/>
  <c r="M77" i="4" s="1"/>
  <c r="EE38" i="4"/>
  <c r="L77" i="4" s="1"/>
  <c r="ED38" i="4"/>
  <c r="K77" i="4" s="1"/>
  <c r="EC38" i="4"/>
  <c r="J77" i="4" s="1"/>
  <c r="EB38" i="4"/>
  <c r="I77" i="4" s="1"/>
  <c r="EA38" i="4"/>
  <c r="H77" i="4" s="1"/>
  <c r="DZ38" i="4"/>
  <c r="G77" i="4" s="1"/>
  <c r="DY38" i="4"/>
  <c r="F77" i="4" s="1"/>
  <c r="AI38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I37" i="4"/>
  <c r="BH37" i="4"/>
  <c r="BG37" i="4"/>
  <c r="CH37" i="4" s="1"/>
  <c r="BF37" i="4"/>
  <c r="BE37" i="4"/>
  <c r="BD37" i="4"/>
  <c r="BC37" i="4"/>
  <c r="CD37" i="4" s="1"/>
  <c r="K150" i="4" s="1"/>
  <c r="BB37" i="4"/>
  <c r="BA37" i="4"/>
  <c r="AZ37" i="4"/>
  <c r="AY37" i="4"/>
  <c r="AX37" i="4"/>
  <c r="AW37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I36" i="4"/>
  <c r="CJ36" i="4" s="1"/>
  <c r="GJ36" i="4" s="1"/>
  <c r="BH36" i="4"/>
  <c r="CI36" i="4" s="1"/>
  <c r="GI36" i="4" s="1"/>
  <c r="BG36" i="4"/>
  <c r="CH36" i="4" s="1"/>
  <c r="GH36" i="4" s="1"/>
  <c r="BF36" i="4"/>
  <c r="CG36" i="4" s="1"/>
  <c r="GG36" i="4" s="1"/>
  <c r="BE36" i="4"/>
  <c r="CF36" i="4" s="1"/>
  <c r="GF36" i="4" s="1"/>
  <c r="BD36" i="4"/>
  <c r="CE36" i="4" s="1"/>
  <c r="GE36" i="4" s="1"/>
  <c r="BC36" i="4"/>
  <c r="CD36" i="4" s="1"/>
  <c r="GD36" i="4" s="1"/>
  <c r="BB36" i="4"/>
  <c r="CC36" i="4" s="1"/>
  <c r="GC36" i="4" s="1"/>
  <c r="BA36" i="4"/>
  <c r="CB36" i="4" s="1"/>
  <c r="GB36" i="4" s="1"/>
  <c r="AZ36" i="4"/>
  <c r="CA36" i="4" s="1"/>
  <c r="GA36" i="4" s="1"/>
  <c r="AY36" i="4"/>
  <c r="BZ36" i="4" s="1"/>
  <c r="FZ36" i="4" s="1"/>
  <c r="AX36" i="4"/>
  <c r="BY36" i="4" s="1"/>
  <c r="FY36" i="4" s="1"/>
  <c r="AW36" i="4"/>
  <c r="BW35" i="4"/>
  <c r="CW35" i="4" s="1"/>
  <c r="GW35" i="4" s="1"/>
  <c r="BV35" i="4"/>
  <c r="CV35" i="4" s="1"/>
  <c r="GV35" i="4" s="1"/>
  <c r="BU35" i="4"/>
  <c r="CU35" i="4" s="1"/>
  <c r="GU35" i="4" s="1"/>
  <c r="BT35" i="4"/>
  <c r="CT35" i="4" s="1"/>
  <c r="GT35" i="4" s="1"/>
  <c r="BS35" i="4"/>
  <c r="CS35" i="4" s="1"/>
  <c r="GS35" i="4" s="1"/>
  <c r="BR35" i="4"/>
  <c r="CR35" i="4" s="1"/>
  <c r="GR35" i="4" s="1"/>
  <c r="BQ35" i="4"/>
  <c r="CQ35" i="4" s="1"/>
  <c r="GQ35" i="4" s="1"/>
  <c r="BP35" i="4"/>
  <c r="CP35" i="4" s="1"/>
  <c r="GP35" i="4" s="1"/>
  <c r="BO35" i="4"/>
  <c r="CO35" i="4" s="1"/>
  <c r="GO35" i="4" s="1"/>
  <c r="BN35" i="4"/>
  <c r="CN35" i="4" s="1"/>
  <c r="GN35" i="4" s="1"/>
  <c r="BM35" i="4"/>
  <c r="CM35" i="4" s="1"/>
  <c r="GM35" i="4" s="1"/>
  <c r="BL35" i="4"/>
  <c r="CL35" i="4" s="1"/>
  <c r="GL35" i="4" s="1"/>
  <c r="BK35" i="4"/>
  <c r="BI35" i="4"/>
  <c r="CJ35" i="4" s="1"/>
  <c r="GJ35" i="4" s="1"/>
  <c r="BH35" i="4"/>
  <c r="CI35" i="4" s="1"/>
  <c r="GI35" i="4" s="1"/>
  <c r="BG35" i="4"/>
  <c r="CH35" i="4" s="1"/>
  <c r="GH35" i="4" s="1"/>
  <c r="BF35" i="4"/>
  <c r="CG35" i="4" s="1"/>
  <c r="GG35" i="4" s="1"/>
  <c r="BE35" i="4"/>
  <c r="CF35" i="4" s="1"/>
  <c r="GF35" i="4" s="1"/>
  <c r="BD35" i="4"/>
  <c r="CE35" i="4" s="1"/>
  <c r="GE35" i="4" s="1"/>
  <c r="BC35" i="4"/>
  <c r="CD35" i="4" s="1"/>
  <c r="GD35" i="4" s="1"/>
  <c r="BB35" i="4"/>
  <c r="CC35" i="4" s="1"/>
  <c r="GC35" i="4" s="1"/>
  <c r="BA35" i="4"/>
  <c r="CB35" i="4" s="1"/>
  <c r="GB35" i="4" s="1"/>
  <c r="AZ35" i="4"/>
  <c r="CA35" i="4" s="1"/>
  <c r="GA35" i="4" s="1"/>
  <c r="AY35" i="4"/>
  <c r="BZ35" i="4" s="1"/>
  <c r="FZ35" i="4" s="1"/>
  <c r="AX35" i="4"/>
  <c r="BY35" i="4" s="1"/>
  <c r="FY35" i="4" s="1"/>
  <c r="AW35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BW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BW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BW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BW30" i="4"/>
  <c r="CW30" i="4" s="1"/>
  <c r="GW30" i="4" s="1"/>
  <c r="BV30" i="4"/>
  <c r="CV30" i="4" s="1"/>
  <c r="GV30" i="4" s="1"/>
  <c r="BU30" i="4"/>
  <c r="CU30" i="4" s="1"/>
  <c r="GU30" i="4" s="1"/>
  <c r="BT30" i="4"/>
  <c r="CT30" i="4" s="1"/>
  <c r="GT30" i="4" s="1"/>
  <c r="BS30" i="4"/>
  <c r="CS30" i="4" s="1"/>
  <c r="GS30" i="4" s="1"/>
  <c r="BR30" i="4"/>
  <c r="CR30" i="4" s="1"/>
  <c r="GR30" i="4" s="1"/>
  <c r="BQ30" i="4"/>
  <c r="CQ30" i="4" s="1"/>
  <c r="GQ30" i="4" s="1"/>
  <c r="BP30" i="4"/>
  <c r="CP30" i="4" s="1"/>
  <c r="GP30" i="4" s="1"/>
  <c r="BO30" i="4"/>
  <c r="CO30" i="4" s="1"/>
  <c r="GO30" i="4" s="1"/>
  <c r="BN30" i="4"/>
  <c r="CN30" i="4" s="1"/>
  <c r="GN30" i="4" s="1"/>
  <c r="BM30" i="4"/>
  <c r="CM30" i="4" s="1"/>
  <c r="GM30" i="4" s="1"/>
  <c r="BL30" i="4"/>
  <c r="CL30" i="4" s="1"/>
  <c r="GL30" i="4" s="1"/>
  <c r="BK30" i="4"/>
  <c r="BI30" i="4"/>
  <c r="CJ30" i="4" s="1"/>
  <c r="GJ30" i="4" s="1"/>
  <c r="BH30" i="4"/>
  <c r="CI30" i="4" s="1"/>
  <c r="GI30" i="4" s="1"/>
  <c r="BG30" i="4"/>
  <c r="CH30" i="4" s="1"/>
  <c r="GH30" i="4" s="1"/>
  <c r="BF30" i="4"/>
  <c r="CG30" i="4" s="1"/>
  <c r="GG30" i="4" s="1"/>
  <c r="BE30" i="4"/>
  <c r="CF30" i="4" s="1"/>
  <c r="GF30" i="4" s="1"/>
  <c r="BD30" i="4"/>
  <c r="CE30" i="4" s="1"/>
  <c r="GE30" i="4" s="1"/>
  <c r="BC30" i="4"/>
  <c r="CD30" i="4" s="1"/>
  <c r="GD30" i="4" s="1"/>
  <c r="BB30" i="4"/>
  <c r="CC30" i="4" s="1"/>
  <c r="GC30" i="4" s="1"/>
  <c r="BA30" i="4"/>
  <c r="CB30" i="4" s="1"/>
  <c r="GB30" i="4" s="1"/>
  <c r="AZ30" i="4"/>
  <c r="CA30" i="4" s="1"/>
  <c r="GA30" i="4" s="1"/>
  <c r="AY30" i="4"/>
  <c r="BZ30" i="4" s="1"/>
  <c r="FZ30" i="4" s="1"/>
  <c r="AX30" i="4"/>
  <c r="BY30" i="4" s="1"/>
  <c r="FY30" i="4" s="1"/>
  <c r="AW30" i="4"/>
  <c r="BW29" i="4"/>
  <c r="BV29" i="4"/>
  <c r="BU29" i="4"/>
  <c r="BT29" i="4"/>
  <c r="BS29" i="4"/>
  <c r="BR29" i="4"/>
  <c r="BQ29" i="4"/>
  <c r="BP29" i="4"/>
  <c r="CP29" i="4" s="1"/>
  <c r="GP29" i="4" s="1"/>
  <c r="BO29" i="4"/>
  <c r="BN29" i="4"/>
  <c r="BM29" i="4"/>
  <c r="BL29" i="4"/>
  <c r="BK29" i="4"/>
  <c r="BI29" i="4"/>
  <c r="CJ29" i="4" s="1"/>
  <c r="GJ29" i="4" s="1"/>
  <c r="BH29" i="4"/>
  <c r="CI29" i="4" s="1"/>
  <c r="GI29" i="4" s="1"/>
  <c r="BG29" i="4"/>
  <c r="CH29" i="4" s="1"/>
  <c r="GH29" i="4" s="1"/>
  <c r="BF29" i="4"/>
  <c r="CG29" i="4" s="1"/>
  <c r="GG29" i="4" s="1"/>
  <c r="BE29" i="4"/>
  <c r="CF29" i="4" s="1"/>
  <c r="GF29" i="4" s="1"/>
  <c r="BD29" i="4"/>
  <c r="CE29" i="4" s="1"/>
  <c r="GE29" i="4" s="1"/>
  <c r="BC29" i="4"/>
  <c r="CD29" i="4" s="1"/>
  <c r="GD29" i="4" s="1"/>
  <c r="BB29" i="4"/>
  <c r="CC29" i="4" s="1"/>
  <c r="GC29" i="4" s="1"/>
  <c r="BA29" i="4"/>
  <c r="CB29" i="4" s="1"/>
  <c r="GB29" i="4" s="1"/>
  <c r="AZ29" i="4"/>
  <c r="CA29" i="4" s="1"/>
  <c r="GA29" i="4" s="1"/>
  <c r="AY29" i="4"/>
  <c r="BZ29" i="4" s="1"/>
  <c r="FZ29" i="4" s="1"/>
  <c r="AX29" i="4"/>
  <c r="BY29" i="4" s="1"/>
  <c r="FY29" i="4" s="1"/>
  <c r="AW29" i="4"/>
  <c r="BW28" i="4"/>
  <c r="BV28" i="4"/>
  <c r="BU28" i="4"/>
  <c r="BT28" i="4"/>
  <c r="BS28" i="4"/>
  <c r="BR28" i="4"/>
  <c r="BM28" i="4"/>
  <c r="BK28" i="4"/>
  <c r="BI28" i="4"/>
  <c r="CJ28" i="4" s="1"/>
  <c r="Q147" i="4" s="1"/>
  <c r="BH28" i="4"/>
  <c r="BG28" i="4"/>
  <c r="BF28" i="4"/>
  <c r="BE28" i="4"/>
  <c r="CF28" i="4" s="1"/>
  <c r="M147" i="4" s="1"/>
  <c r="BD28" i="4"/>
  <c r="BC28" i="4"/>
  <c r="BB28" i="4"/>
  <c r="BA28" i="4"/>
  <c r="CB28" i="4" s="1"/>
  <c r="I147" i="4" s="1"/>
  <c r="AZ28" i="4"/>
  <c r="AY28" i="4"/>
  <c r="AX28" i="4"/>
  <c r="AW28" i="4"/>
  <c r="BW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I27" i="4"/>
  <c r="BH27" i="4"/>
  <c r="BG27" i="4"/>
  <c r="BF27" i="4"/>
  <c r="BE27" i="4"/>
  <c r="BD27" i="4"/>
  <c r="BC27" i="4"/>
  <c r="CD27" i="4" s="1"/>
  <c r="GD27" i="4" s="1"/>
  <c r="BB27" i="4"/>
  <c r="BA27" i="4"/>
  <c r="AZ27" i="4"/>
  <c r="AY27" i="4"/>
  <c r="AX27" i="4"/>
  <c r="AW27" i="4"/>
  <c r="BW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BW25" i="4"/>
  <c r="BV25" i="4"/>
  <c r="BU25" i="4"/>
  <c r="BT25" i="4"/>
  <c r="BS25" i="4"/>
  <c r="BR25" i="4"/>
  <c r="BQ25" i="4"/>
  <c r="BP25" i="4"/>
  <c r="CP25" i="4" s="1"/>
  <c r="GP25" i="4" s="1"/>
  <c r="BO25" i="4"/>
  <c r="BN25" i="4"/>
  <c r="BM25" i="4"/>
  <c r="BL25" i="4"/>
  <c r="BK25" i="4"/>
  <c r="BI25" i="4"/>
  <c r="BH25" i="4"/>
  <c r="BG25" i="4"/>
  <c r="CH25" i="4" s="1"/>
  <c r="GH25" i="4" s="1"/>
  <c r="BF25" i="4"/>
  <c r="BE25" i="4"/>
  <c r="BD25" i="4"/>
  <c r="BC25" i="4"/>
  <c r="CD25" i="4" s="1"/>
  <c r="GD25" i="4" s="1"/>
  <c r="BB25" i="4"/>
  <c r="BA25" i="4"/>
  <c r="AZ25" i="4"/>
  <c r="AY25" i="4"/>
  <c r="AX25" i="4"/>
  <c r="AW25" i="4"/>
  <c r="BW24" i="4"/>
  <c r="BV24" i="4"/>
  <c r="CV24" i="4" s="1"/>
  <c r="GV24" i="4" s="1"/>
  <c r="BU24" i="4"/>
  <c r="BT24" i="4"/>
  <c r="BS24" i="4"/>
  <c r="BR24" i="4"/>
  <c r="CR24" i="4" s="1"/>
  <c r="GR24" i="4" s="1"/>
  <c r="BQ24" i="4"/>
  <c r="BP24" i="4"/>
  <c r="BO24" i="4"/>
  <c r="BN24" i="4"/>
  <c r="CN24" i="4" s="1"/>
  <c r="GN24" i="4" s="1"/>
  <c r="BM24" i="4"/>
  <c r="BL24" i="4"/>
  <c r="BK24" i="4"/>
  <c r="BI24" i="4"/>
  <c r="CJ24" i="4" s="1"/>
  <c r="GJ24" i="4" s="1"/>
  <c r="BH24" i="4"/>
  <c r="BG24" i="4"/>
  <c r="BF24" i="4"/>
  <c r="BE24" i="4"/>
  <c r="CF24" i="4" s="1"/>
  <c r="GF24" i="4" s="1"/>
  <c r="BD24" i="4"/>
  <c r="BC24" i="4"/>
  <c r="BB24" i="4"/>
  <c r="BA24" i="4"/>
  <c r="CB24" i="4" s="1"/>
  <c r="GB24" i="4" s="1"/>
  <c r="AZ24" i="4"/>
  <c r="AY24" i="4"/>
  <c r="AX24" i="4"/>
  <c r="AW24" i="4"/>
  <c r="BW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I23" i="4"/>
  <c r="BH23" i="4"/>
  <c r="BG23" i="4"/>
  <c r="CH23" i="4" s="1"/>
  <c r="GH23" i="4" s="1"/>
  <c r="BF23" i="4"/>
  <c r="BE23" i="4"/>
  <c r="BD23" i="4"/>
  <c r="BC23" i="4"/>
  <c r="CD23" i="4" s="1"/>
  <c r="GD23" i="4" s="1"/>
  <c r="BB23" i="4"/>
  <c r="BA23" i="4"/>
  <c r="AZ23" i="4"/>
  <c r="AY23" i="4"/>
  <c r="AX23" i="4"/>
  <c r="AW23" i="4"/>
  <c r="BW22" i="4"/>
  <c r="BV22" i="4"/>
  <c r="CV22" i="4" s="1"/>
  <c r="GV22" i="4" s="1"/>
  <c r="BU22" i="4"/>
  <c r="BT22" i="4"/>
  <c r="BS22" i="4"/>
  <c r="BR22" i="4"/>
  <c r="CR22" i="4" s="1"/>
  <c r="GR22" i="4" s="1"/>
  <c r="BQ22" i="4"/>
  <c r="BP22" i="4"/>
  <c r="BO22" i="4"/>
  <c r="BN22" i="4"/>
  <c r="CN22" i="4" s="1"/>
  <c r="GN22" i="4" s="1"/>
  <c r="BM22" i="4"/>
  <c r="BL22" i="4"/>
  <c r="BK22" i="4"/>
  <c r="BI22" i="4"/>
  <c r="CJ22" i="4" s="1"/>
  <c r="GJ22" i="4" s="1"/>
  <c r="BH22" i="4"/>
  <c r="BG22" i="4"/>
  <c r="BF22" i="4"/>
  <c r="BE22" i="4"/>
  <c r="CF22" i="4" s="1"/>
  <c r="GF22" i="4" s="1"/>
  <c r="BD22" i="4"/>
  <c r="BC22" i="4"/>
  <c r="BB22" i="4"/>
  <c r="BA22" i="4"/>
  <c r="CB22" i="4" s="1"/>
  <c r="GB22" i="4" s="1"/>
  <c r="AZ22" i="4"/>
  <c r="AY22" i="4"/>
  <c r="AX22" i="4"/>
  <c r="AW22" i="4"/>
  <c r="BW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BW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I20" i="4"/>
  <c r="CJ20" i="4" s="1"/>
  <c r="GJ20" i="4" s="1"/>
  <c r="BH20" i="4"/>
  <c r="BG20" i="4"/>
  <c r="BF20" i="4"/>
  <c r="BE20" i="4"/>
  <c r="CF20" i="4" s="1"/>
  <c r="GF20" i="4" s="1"/>
  <c r="BD20" i="4"/>
  <c r="BC20" i="4"/>
  <c r="BB20" i="4"/>
  <c r="BA20" i="4"/>
  <c r="CB20" i="4" s="1"/>
  <c r="GB20" i="4" s="1"/>
  <c r="AZ20" i="4"/>
  <c r="AY20" i="4"/>
  <c r="AX20" i="4"/>
  <c r="AW20" i="4"/>
  <c r="BW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BW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BW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BW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BW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I13" i="4"/>
  <c r="BH13" i="4"/>
  <c r="BG13" i="4"/>
  <c r="CH13" i="4" s="1"/>
  <c r="BF13" i="4"/>
  <c r="BE13" i="4"/>
  <c r="BD13" i="4"/>
  <c r="BC13" i="4"/>
  <c r="BB13" i="4"/>
  <c r="BA13" i="4"/>
  <c r="AZ13" i="4"/>
  <c r="AY13" i="4"/>
  <c r="AX13" i="4"/>
  <c r="AW13" i="4"/>
  <c r="BW12" i="4"/>
  <c r="CW12" i="4" s="1"/>
  <c r="GW12" i="4" s="1"/>
  <c r="BV12" i="4"/>
  <c r="BU12" i="4"/>
  <c r="BT12" i="4"/>
  <c r="BS12" i="4"/>
  <c r="BR12" i="4"/>
  <c r="BQ12" i="4"/>
  <c r="BP12" i="4"/>
  <c r="BO12" i="4"/>
  <c r="BN12" i="4"/>
  <c r="BM12" i="4"/>
  <c r="BL12" i="4"/>
  <c r="BK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BW11" i="4"/>
  <c r="CW11" i="4" s="1"/>
  <c r="GW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BW10" i="4"/>
  <c r="CW10" i="4" s="1"/>
  <c r="GW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BW9" i="4"/>
  <c r="CW9" i="4" s="1"/>
  <c r="GW9" i="4" s="1"/>
  <c r="BV9" i="4"/>
  <c r="BU9" i="4"/>
  <c r="BT9" i="4"/>
  <c r="BS9" i="4"/>
  <c r="BR9" i="4"/>
  <c r="BQ9" i="4"/>
  <c r="BP9" i="4"/>
  <c r="BO9" i="4"/>
  <c r="BN9" i="4"/>
  <c r="BM9" i="4"/>
  <c r="BL9" i="4"/>
  <c r="BK9" i="4"/>
  <c r="GH13" i="4" l="1"/>
  <c r="GH37" i="4"/>
  <c r="O150" i="4"/>
  <c r="BZ37" i="4"/>
  <c r="FZ37" i="4" s="1"/>
  <c r="BZ23" i="4"/>
  <c r="FZ23" i="4" s="1"/>
  <c r="BZ25" i="4"/>
  <c r="FZ25" i="4" s="1"/>
  <c r="CL25" i="4"/>
  <c r="GL25" i="4" s="1"/>
  <c r="BZ27" i="4"/>
  <c r="FZ27" i="4" s="1"/>
  <c r="CL29" i="4"/>
  <c r="GL29" i="4" s="1"/>
  <c r="BY10" i="4"/>
  <c r="FY10" i="4" s="1"/>
  <c r="BY23" i="4"/>
  <c r="FY23" i="4" s="1"/>
  <c r="BY25" i="4"/>
  <c r="FY25" i="4" s="1"/>
  <c r="CP11" i="4"/>
  <c r="GP11" i="4" s="1"/>
  <c r="CL22" i="4"/>
  <c r="GL22" i="4" s="1"/>
  <c r="CL24" i="4"/>
  <c r="GL24" i="4" s="1"/>
  <c r="CA31" i="4"/>
  <c r="CE31" i="4"/>
  <c r="CI31" i="4"/>
  <c r="CM31" i="4"/>
  <c r="CQ31" i="4"/>
  <c r="CQ33" i="4"/>
  <c r="GQ33" i="4" s="1"/>
  <c r="BY34" i="4"/>
  <c r="FY34" i="4" s="1"/>
  <c r="CC34" i="4"/>
  <c r="GC34" i="4" s="1"/>
  <c r="CG34" i="4"/>
  <c r="GG34" i="4" s="1"/>
  <c r="CW36" i="4"/>
  <c r="GW36" i="4" s="1"/>
  <c r="BY20" i="4"/>
  <c r="FY20" i="4" s="1"/>
  <c r="CG20" i="4"/>
  <c r="GG20" i="4" s="1"/>
  <c r="CO20" i="4"/>
  <c r="GO20" i="4" s="1"/>
  <c r="CS20" i="4"/>
  <c r="GS20" i="4" s="1"/>
  <c r="CW20" i="4"/>
  <c r="GW20" i="4" s="1"/>
  <c r="CE25" i="4"/>
  <c r="GE25" i="4" s="1"/>
  <c r="CI25" i="4"/>
  <c r="GI25" i="4" s="1"/>
  <c r="CM25" i="4"/>
  <c r="GM25" i="4" s="1"/>
  <c r="CQ25" i="4"/>
  <c r="GQ25" i="4" s="1"/>
  <c r="CU25" i="4"/>
  <c r="GU25" i="4" s="1"/>
  <c r="CD11" i="4"/>
  <c r="GD11" i="4" s="1"/>
  <c r="CT11" i="4"/>
  <c r="GT11" i="4" s="1"/>
  <c r="CE12" i="4"/>
  <c r="CB15" i="4"/>
  <c r="GB15" i="4" s="1"/>
  <c r="CJ15" i="4"/>
  <c r="GJ15" i="4" s="1"/>
  <c r="CR15" i="4"/>
  <c r="GR15" i="4" s="1"/>
  <c r="CL26" i="4"/>
  <c r="GL26" i="4" s="1"/>
  <c r="BZ28" i="4"/>
  <c r="G147" i="4" s="1"/>
  <c r="CH28" i="4"/>
  <c r="O147" i="4" s="1"/>
  <c r="CA37" i="4"/>
  <c r="CE37" i="4"/>
  <c r="CM37" i="4"/>
  <c r="GM37" i="4" s="1"/>
  <c r="CQ37" i="4"/>
  <c r="GQ37" i="4" s="1"/>
  <c r="CD10" i="4"/>
  <c r="GD10" i="4" s="1"/>
  <c r="CH10" i="4"/>
  <c r="GH10" i="4" s="1"/>
  <c r="CB11" i="4"/>
  <c r="GB11" i="4" s="1"/>
  <c r="CN12" i="4"/>
  <c r="GN12" i="4" s="1"/>
  <c r="CI28" i="4"/>
  <c r="P147" i="4" s="1"/>
  <c r="CW29" i="4"/>
  <c r="GW29" i="4" s="1"/>
  <c r="CO31" i="4"/>
  <c r="CS31" i="4"/>
  <c r="CW31" i="4"/>
  <c r="CM32" i="4"/>
  <c r="GM32" i="4" s="1"/>
  <c r="CQ32" i="4"/>
  <c r="GQ32" i="4" s="1"/>
  <c r="CU32" i="4"/>
  <c r="GU32" i="4" s="1"/>
  <c r="CA34" i="4"/>
  <c r="GA34" i="4" s="1"/>
  <c r="BZ11" i="4"/>
  <c r="FZ11" i="4" s="1"/>
  <c r="CH11" i="4"/>
  <c r="GH11" i="4" s="1"/>
  <c r="CL11" i="4"/>
  <c r="GL11" i="4" s="1"/>
  <c r="CF15" i="4"/>
  <c r="GF15" i="4" s="1"/>
  <c r="CN15" i="4"/>
  <c r="GN15" i="4" s="1"/>
  <c r="CN21" i="4"/>
  <c r="GN21" i="4" s="1"/>
  <c r="CT26" i="4"/>
  <c r="GT26" i="4" s="1"/>
  <c r="CD28" i="4"/>
  <c r="K147" i="4" s="1"/>
  <c r="CU28" i="4"/>
  <c r="GU28" i="4" s="1"/>
  <c r="CI37" i="4"/>
  <c r="CT29" i="4"/>
  <c r="GT29" i="4" s="1"/>
  <c r="CE10" i="4"/>
  <c r="GE10" i="4" s="1"/>
  <c r="CQ10" i="4"/>
  <c r="GQ10" i="4" s="1"/>
  <c r="BZ18" i="4"/>
  <c r="FZ18" i="4" s="1"/>
  <c r="CD18" i="4"/>
  <c r="GD18" i="4" s="1"/>
  <c r="CH18" i="4"/>
  <c r="GH18" i="4" s="1"/>
  <c r="CL18" i="4"/>
  <c r="GL18" i="4" s="1"/>
  <c r="CP18" i="4"/>
  <c r="GP18" i="4" s="1"/>
  <c r="CT18" i="4"/>
  <c r="GT18" i="4" s="1"/>
  <c r="CB19" i="4"/>
  <c r="GB19" i="4" s="1"/>
  <c r="CF19" i="4"/>
  <c r="GF19" i="4" s="1"/>
  <c r="CJ19" i="4"/>
  <c r="GJ19" i="4" s="1"/>
  <c r="CN19" i="4"/>
  <c r="GN19" i="4" s="1"/>
  <c r="CR19" i="4"/>
  <c r="GR19" i="4" s="1"/>
  <c r="CV19" i="4"/>
  <c r="GV19" i="4" s="1"/>
  <c r="CJ21" i="4"/>
  <c r="GJ21" i="4" s="1"/>
  <c r="CR21" i="4"/>
  <c r="GR21" i="4" s="1"/>
  <c r="CV21" i="4"/>
  <c r="GV21" i="4" s="1"/>
  <c r="BY22" i="4"/>
  <c r="FY22" i="4" s="1"/>
  <c r="CC22" i="4"/>
  <c r="GC22" i="4" s="1"/>
  <c r="CG22" i="4"/>
  <c r="GG22" i="4" s="1"/>
  <c r="CO22" i="4"/>
  <c r="GO22" i="4" s="1"/>
  <c r="CS22" i="4"/>
  <c r="GS22" i="4" s="1"/>
  <c r="CW22" i="4"/>
  <c r="GW22" i="4" s="1"/>
  <c r="CA23" i="4"/>
  <c r="GA23" i="4" s="1"/>
  <c r="CE23" i="4"/>
  <c r="GE23" i="4" s="1"/>
  <c r="CI23" i="4"/>
  <c r="GI23" i="4" s="1"/>
  <c r="CM23" i="4"/>
  <c r="GM23" i="4" s="1"/>
  <c r="CQ23" i="4"/>
  <c r="GQ23" i="4" s="1"/>
  <c r="CU23" i="4"/>
  <c r="GU23" i="4" s="1"/>
  <c r="BY24" i="4"/>
  <c r="FY24" i="4" s="1"/>
  <c r="CC24" i="4"/>
  <c r="GC24" i="4" s="1"/>
  <c r="CG24" i="4"/>
  <c r="GG24" i="4" s="1"/>
  <c r="CO24" i="4"/>
  <c r="GO24" i="4" s="1"/>
  <c r="CS24" i="4"/>
  <c r="GS24" i="4" s="1"/>
  <c r="CW24" i="4"/>
  <c r="GW24" i="4" s="1"/>
  <c r="CA25" i="4"/>
  <c r="GA25" i="4" s="1"/>
  <c r="BY26" i="4"/>
  <c r="FY26" i="4" s="1"/>
  <c r="CC26" i="4"/>
  <c r="GC26" i="4" s="1"/>
  <c r="CG26" i="4"/>
  <c r="GG26" i="4" s="1"/>
  <c r="CO26" i="4"/>
  <c r="GO26" i="4" s="1"/>
  <c r="CS26" i="4"/>
  <c r="GS26" i="4" s="1"/>
  <c r="CW26" i="4"/>
  <c r="GW26" i="4" s="1"/>
  <c r="CU37" i="4"/>
  <c r="GU37" i="4" s="1"/>
  <c r="CI10" i="4"/>
  <c r="GI10" i="4" s="1"/>
  <c r="CU10" i="4"/>
  <c r="GU10" i="4" s="1"/>
  <c r="BZ13" i="4"/>
  <c r="FZ13" i="4" s="1"/>
  <c r="CD13" i="4"/>
  <c r="CL13" i="4"/>
  <c r="GL13" i="4" s="1"/>
  <c r="CP13" i="4"/>
  <c r="GP13" i="4" s="1"/>
  <c r="CT13" i="4"/>
  <c r="GT13" i="4" s="1"/>
  <c r="CA14" i="4"/>
  <c r="GA14" i="4" s="1"/>
  <c r="CE14" i="4"/>
  <c r="GE14" i="4" s="1"/>
  <c r="CI14" i="4"/>
  <c r="GI14" i="4" s="1"/>
  <c r="CM14" i="4"/>
  <c r="GM14" i="4" s="1"/>
  <c r="CQ14" i="4"/>
  <c r="GQ14" i="4" s="1"/>
  <c r="CU14" i="4"/>
  <c r="GU14" i="4" s="1"/>
  <c r="BY15" i="4"/>
  <c r="FY15" i="4" s="1"/>
  <c r="CC15" i="4"/>
  <c r="GC15" i="4" s="1"/>
  <c r="CG15" i="4"/>
  <c r="GG15" i="4" s="1"/>
  <c r="CO15" i="4"/>
  <c r="GO15" i="4" s="1"/>
  <c r="CS15" i="4"/>
  <c r="GS15" i="4" s="1"/>
  <c r="CW15" i="4"/>
  <c r="GW15" i="4" s="1"/>
  <c r="CA16" i="4"/>
  <c r="GA16" i="4" s="1"/>
  <c r="CE16" i="4"/>
  <c r="GE16" i="4" s="1"/>
  <c r="CI16" i="4"/>
  <c r="GI16" i="4" s="1"/>
  <c r="CM16" i="4"/>
  <c r="GM16" i="4" s="1"/>
  <c r="BY17" i="4"/>
  <c r="FY17" i="4" s="1"/>
  <c r="CC17" i="4"/>
  <c r="GC17" i="4" s="1"/>
  <c r="CG17" i="4"/>
  <c r="GG17" i="4" s="1"/>
  <c r="CO17" i="4"/>
  <c r="GO17" i="4" s="1"/>
  <c r="CS17" i="4"/>
  <c r="GS17" i="4" s="1"/>
  <c r="CW17" i="4"/>
  <c r="GW17" i="4" s="1"/>
  <c r="CE18" i="4"/>
  <c r="GE18" i="4" s="1"/>
  <c r="CM18" i="4"/>
  <c r="GM18" i="4" s="1"/>
  <c r="CQ18" i="4"/>
  <c r="GQ18" i="4" s="1"/>
  <c r="CU18" i="4"/>
  <c r="GU18" i="4" s="1"/>
  <c r="BY19" i="4"/>
  <c r="FY19" i="4" s="1"/>
  <c r="CG19" i="4"/>
  <c r="GG19" i="4" s="1"/>
  <c r="BY21" i="4"/>
  <c r="FY21" i="4" s="1"/>
  <c r="CO21" i="4"/>
  <c r="GO21" i="4" s="1"/>
  <c r="CS21" i="4"/>
  <c r="GS21" i="4" s="1"/>
  <c r="CW21" i="4"/>
  <c r="GW21" i="4" s="1"/>
  <c r="CJ23" i="4"/>
  <c r="GJ23" i="4" s="1"/>
  <c r="CN23" i="4"/>
  <c r="GN23" i="4" s="1"/>
  <c r="CR23" i="4"/>
  <c r="GR23" i="4" s="1"/>
  <c r="CV23" i="4"/>
  <c r="GV23" i="4" s="1"/>
  <c r="CE34" i="4"/>
  <c r="GE34" i="4" s="1"/>
  <c r="CI34" i="4"/>
  <c r="GI34" i="4" s="1"/>
  <c r="CM34" i="4"/>
  <c r="GM34" i="4" s="1"/>
  <c r="CQ34" i="4"/>
  <c r="GQ34" i="4" s="1"/>
  <c r="CU34" i="4"/>
  <c r="GU34" i="4" s="1"/>
  <c r="CA10" i="4"/>
  <c r="GA10" i="4" s="1"/>
  <c r="CM10" i="4"/>
  <c r="GM10" i="4" s="1"/>
  <c r="CV10" i="4"/>
  <c r="GV10" i="4" s="1"/>
  <c r="CA13" i="4"/>
  <c r="CE13" i="4"/>
  <c r="CI13" i="4"/>
  <c r="CM13" i="4"/>
  <c r="GM13" i="4" s="1"/>
  <c r="CQ13" i="4"/>
  <c r="GQ13" i="4" s="1"/>
  <c r="CU13" i="4"/>
  <c r="GU13" i="4" s="1"/>
  <c r="CM15" i="4"/>
  <c r="GM15" i="4" s="1"/>
  <c r="BY18" i="4"/>
  <c r="FY18" i="4" s="1"/>
  <c r="CN20" i="4"/>
  <c r="GN20" i="4" s="1"/>
  <c r="CR20" i="4"/>
  <c r="GR20" i="4" s="1"/>
  <c r="CV20" i="4"/>
  <c r="GV20" i="4" s="1"/>
  <c r="CC27" i="4"/>
  <c r="GC27" i="4" s="1"/>
  <c r="CO29" i="4"/>
  <c r="GO29" i="4" s="1"/>
  <c r="CB9" i="4"/>
  <c r="CJ9" i="4"/>
  <c r="CR9" i="4"/>
  <c r="GR9" i="4" s="1"/>
  <c r="CJ11" i="4"/>
  <c r="GJ11" i="4" s="1"/>
  <c r="CV11" i="4"/>
  <c r="GV11" i="4" s="1"/>
  <c r="CF12" i="4"/>
  <c r="M145" i="4" s="1"/>
  <c r="CR12" i="4"/>
  <c r="GR12" i="4" s="1"/>
  <c r="CB14" i="4"/>
  <c r="GB14" i="4" s="1"/>
  <c r="CN14" i="4"/>
  <c r="GN14" i="4" s="1"/>
  <c r="BY9" i="4"/>
  <c r="FY9" i="4" s="1"/>
  <c r="CC9" i="4"/>
  <c r="CG9" i="4"/>
  <c r="CO9" i="4"/>
  <c r="GO9" i="4" s="1"/>
  <c r="CS9" i="4"/>
  <c r="GS9" i="4" s="1"/>
  <c r="BZ10" i="4"/>
  <c r="FZ10" i="4" s="1"/>
  <c r="CL10" i="4"/>
  <c r="GL10" i="4" s="1"/>
  <c r="CP10" i="4"/>
  <c r="GP10" i="4" s="1"/>
  <c r="CT10" i="4"/>
  <c r="GT10" i="4" s="1"/>
  <c r="BY11" i="4"/>
  <c r="FY11" i="4" s="1"/>
  <c r="CC11" i="4"/>
  <c r="GC11" i="4" s="1"/>
  <c r="CG11" i="4"/>
  <c r="GG11" i="4" s="1"/>
  <c r="CO11" i="4"/>
  <c r="GO11" i="4" s="1"/>
  <c r="CS11" i="4"/>
  <c r="GS11" i="4" s="1"/>
  <c r="BY12" i="4"/>
  <c r="FY12" i="4" s="1"/>
  <c r="CC12" i="4"/>
  <c r="CG12" i="4"/>
  <c r="CO12" i="4"/>
  <c r="GO12" i="4" s="1"/>
  <c r="CS12" i="4"/>
  <c r="GS12" i="4" s="1"/>
  <c r="CE19" i="4"/>
  <c r="GE19" i="4" s="1"/>
  <c r="CI19" i="4"/>
  <c r="GI19" i="4" s="1"/>
  <c r="CM19" i="4"/>
  <c r="GM19" i="4" s="1"/>
  <c r="CQ19" i="4"/>
  <c r="GQ19" i="4" s="1"/>
  <c r="CU19" i="4"/>
  <c r="GU19" i="4" s="1"/>
  <c r="CE20" i="4"/>
  <c r="GE20" i="4" s="1"/>
  <c r="CA21" i="4"/>
  <c r="GA21" i="4" s="1"/>
  <c r="CM22" i="4"/>
  <c r="GM22" i="4" s="1"/>
  <c r="CQ22" i="4"/>
  <c r="GQ22" i="4" s="1"/>
  <c r="CU22" i="4"/>
  <c r="GU22" i="4" s="1"/>
  <c r="CT24" i="4"/>
  <c r="GT24" i="4" s="1"/>
  <c r="CN31" i="4"/>
  <c r="CI12" i="4"/>
  <c r="CL23" i="4"/>
  <c r="GL23" i="4" s="1"/>
  <c r="CP23" i="4"/>
  <c r="GP23" i="4" s="1"/>
  <c r="CT23" i="4"/>
  <c r="GT23" i="4" s="1"/>
  <c r="CM26" i="4"/>
  <c r="GM26" i="4" s="1"/>
  <c r="CQ26" i="4"/>
  <c r="GQ26" i="4" s="1"/>
  <c r="CU26" i="4"/>
  <c r="GU26" i="4" s="1"/>
  <c r="CB27" i="4"/>
  <c r="GB27" i="4" s="1"/>
  <c r="CJ27" i="4"/>
  <c r="GJ27" i="4" s="1"/>
  <c r="CN27" i="4"/>
  <c r="GN27" i="4" s="1"/>
  <c r="CR27" i="4"/>
  <c r="GR27" i="4" s="1"/>
  <c r="CV27" i="4"/>
  <c r="GV27" i="4" s="1"/>
  <c r="CM29" i="4"/>
  <c r="GM29" i="4" s="1"/>
  <c r="CQ29" i="4"/>
  <c r="GQ29" i="4" s="1"/>
  <c r="CJ31" i="4"/>
  <c r="CR31" i="4"/>
  <c r="CV31" i="4"/>
  <c r="CB32" i="4"/>
  <c r="GB32" i="4" s="1"/>
  <c r="CF32" i="4"/>
  <c r="GF32" i="4" s="1"/>
  <c r="CJ32" i="4"/>
  <c r="GJ32" i="4" s="1"/>
  <c r="CN32" i="4"/>
  <c r="GN32" i="4" s="1"/>
  <c r="CR32" i="4"/>
  <c r="GR32" i="4" s="1"/>
  <c r="CV32" i="4"/>
  <c r="GV32" i="4" s="1"/>
  <c r="BZ33" i="4"/>
  <c r="FZ33" i="4" s="1"/>
  <c r="CD33" i="4"/>
  <c r="GD33" i="4" s="1"/>
  <c r="CH33" i="4"/>
  <c r="GH33" i="4" s="1"/>
  <c r="CL33" i="4"/>
  <c r="GL33" i="4" s="1"/>
  <c r="CP33" i="4"/>
  <c r="GP33" i="4" s="1"/>
  <c r="CT33" i="4"/>
  <c r="GT33" i="4" s="1"/>
  <c r="CM36" i="4"/>
  <c r="GM36" i="4" s="1"/>
  <c r="CQ36" i="4"/>
  <c r="GQ36" i="4" s="1"/>
  <c r="CU36" i="4"/>
  <c r="GU36" i="4" s="1"/>
  <c r="CB37" i="4"/>
  <c r="I150" i="4" s="1"/>
  <c r="CF37" i="4"/>
  <c r="CJ37" i="4"/>
  <c r="CN37" i="4"/>
  <c r="GN37" i="4" s="1"/>
  <c r="CR37" i="4"/>
  <c r="GR37" i="4" s="1"/>
  <c r="CV37" i="4"/>
  <c r="GV37" i="4" s="1"/>
  <c r="CT25" i="4"/>
  <c r="GT25" i="4" s="1"/>
  <c r="BY32" i="4"/>
  <c r="FY32" i="4" s="1"/>
  <c r="CC32" i="4"/>
  <c r="GC32" i="4" s="1"/>
  <c r="CO34" i="4"/>
  <c r="GO34" i="4" s="1"/>
  <c r="CS34" i="4"/>
  <c r="GS34" i="4" s="1"/>
  <c r="CW34" i="4"/>
  <c r="GW34" i="4" s="1"/>
  <c r="CF9" i="4"/>
  <c r="CN9" i="4"/>
  <c r="GN9" i="4" s="1"/>
  <c r="CV9" i="4"/>
  <c r="GV9" i="4" s="1"/>
  <c r="CB12" i="4"/>
  <c r="CJ12" i="4"/>
  <c r="CV12" i="4"/>
  <c r="GV12" i="4" s="1"/>
  <c r="CF14" i="4"/>
  <c r="GF14" i="4" s="1"/>
  <c r="CJ14" i="4"/>
  <c r="GJ14" i="4" s="1"/>
  <c r="CR14" i="4"/>
  <c r="GR14" i="4" s="1"/>
  <c r="CV14" i="4"/>
  <c r="GV14" i="4" s="1"/>
  <c r="BZ15" i="4"/>
  <c r="FZ15" i="4" s="1"/>
  <c r="CD15" i="4"/>
  <c r="GD15" i="4" s="1"/>
  <c r="CH15" i="4"/>
  <c r="GH15" i="4" s="1"/>
  <c r="CB16" i="4"/>
  <c r="GB16" i="4" s="1"/>
  <c r="CJ16" i="4"/>
  <c r="GJ16" i="4" s="1"/>
  <c r="CN16" i="4"/>
  <c r="GN16" i="4" s="1"/>
  <c r="CR16" i="4"/>
  <c r="GR16" i="4" s="1"/>
  <c r="CV16" i="4"/>
  <c r="GV16" i="4" s="1"/>
  <c r="BZ17" i="4"/>
  <c r="FZ17" i="4" s="1"/>
  <c r="CD17" i="4"/>
  <c r="GD17" i="4" s="1"/>
  <c r="CH17" i="4"/>
  <c r="GH17" i="4" s="1"/>
  <c r="CT17" i="4"/>
  <c r="GT17" i="4" s="1"/>
  <c r="CB18" i="4"/>
  <c r="GB18" i="4" s="1"/>
  <c r="CF18" i="4"/>
  <c r="GF18" i="4" s="1"/>
  <c r="CJ18" i="4"/>
  <c r="GJ18" i="4" s="1"/>
  <c r="CN18" i="4"/>
  <c r="GN18" i="4" s="1"/>
  <c r="CR18" i="4"/>
  <c r="GR18" i="4" s="1"/>
  <c r="CV18" i="4"/>
  <c r="GV18" i="4" s="1"/>
  <c r="BZ19" i="4"/>
  <c r="FZ19" i="4" s="1"/>
  <c r="CD19" i="4"/>
  <c r="GD19" i="4" s="1"/>
  <c r="CH19" i="4"/>
  <c r="GH19" i="4" s="1"/>
  <c r="CL19" i="4"/>
  <c r="GL19" i="4" s="1"/>
  <c r="CP19" i="4"/>
  <c r="GP19" i="4" s="1"/>
  <c r="CT19" i="4"/>
  <c r="GT19" i="4" s="1"/>
  <c r="BZ20" i="4"/>
  <c r="FZ20" i="4" s="1"/>
  <c r="CD20" i="4"/>
  <c r="GD20" i="4" s="1"/>
  <c r="CH20" i="4"/>
  <c r="GH20" i="4" s="1"/>
  <c r="CL20" i="4"/>
  <c r="GL20" i="4" s="1"/>
  <c r="CP20" i="4"/>
  <c r="GP20" i="4" s="1"/>
  <c r="CT20" i="4"/>
  <c r="GT20" i="4" s="1"/>
  <c r="BZ21" i="4"/>
  <c r="FZ21" i="4" s="1"/>
  <c r="CD21" i="4"/>
  <c r="GD21" i="4" s="1"/>
  <c r="CH21" i="4"/>
  <c r="GH21" i="4" s="1"/>
  <c r="CL21" i="4"/>
  <c r="GL21" i="4" s="1"/>
  <c r="CP21" i="4"/>
  <c r="GP21" i="4" s="1"/>
  <c r="CT21" i="4"/>
  <c r="GT21" i="4" s="1"/>
  <c r="CT22" i="4"/>
  <c r="GT22" i="4" s="1"/>
  <c r="CH27" i="4"/>
  <c r="GH27" i="4" s="1"/>
  <c r="CL27" i="4"/>
  <c r="GL27" i="4" s="1"/>
  <c r="CP27" i="4"/>
  <c r="GP27" i="4" s="1"/>
  <c r="CU27" i="4"/>
  <c r="GU27" i="4" s="1"/>
  <c r="CA28" i="4"/>
  <c r="H147" i="4" s="1"/>
  <c r="CE28" i="4"/>
  <c r="L147" i="4" s="1"/>
  <c r="CV28" i="4"/>
  <c r="GV28" i="4" s="1"/>
  <c r="CS29" i="4"/>
  <c r="GS29" i="4" s="1"/>
  <c r="CL32" i="4"/>
  <c r="GL32" i="4" s="1"/>
  <c r="CT32" i="4"/>
  <c r="GT32" i="4" s="1"/>
  <c r="CD9" i="4"/>
  <c r="CP9" i="4"/>
  <c r="GP9" i="4" s="1"/>
  <c r="CV15" i="4"/>
  <c r="GV15" i="4" s="1"/>
  <c r="CL9" i="4"/>
  <c r="GL9" i="4" s="1"/>
  <c r="CA11" i="4"/>
  <c r="GA11" i="4" s="1"/>
  <c r="CE11" i="4"/>
  <c r="GE11" i="4" s="1"/>
  <c r="CI11" i="4"/>
  <c r="GI11" i="4" s="1"/>
  <c r="CM11" i="4"/>
  <c r="GM11" i="4" s="1"/>
  <c r="CQ11" i="4"/>
  <c r="GQ11" i="4" s="1"/>
  <c r="CU11" i="4"/>
  <c r="GU11" i="4" s="1"/>
  <c r="CF11" i="4"/>
  <c r="GF11" i="4" s="1"/>
  <c r="BZ12" i="4"/>
  <c r="CD12" i="4"/>
  <c r="K145" i="4" s="1"/>
  <c r="CH12" i="4"/>
  <c r="O145" i="4" s="1"/>
  <c r="CL12" i="4"/>
  <c r="GL12" i="4" s="1"/>
  <c r="CP12" i="4"/>
  <c r="GP12" i="4" s="1"/>
  <c r="CT12" i="4"/>
  <c r="GT12" i="4" s="1"/>
  <c r="CA12" i="4"/>
  <c r="H145" i="4" s="1"/>
  <c r="CB13" i="4"/>
  <c r="CF13" i="4"/>
  <c r="CJ13" i="4"/>
  <c r="CN13" i="4"/>
  <c r="GN13" i="4" s="1"/>
  <c r="CR13" i="4"/>
  <c r="GR13" i="4" s="1"/>
  <c r="CV13" i="4"/>
  <c r="GV13" i="4" s="1"/>
  <c r="BY14" i="4"/>
  <c r="FY14" i="4" s="1"/>
  <c r="CC14" i="4"/>
  <c r="GC14" i="4" s="1"/>
  <c r="CG14" i="4"/>
  <c r="GG14" i="4" s="1"/>
  <c r="CO14" i="4"/>
  <c r="GO14" i="4" s="1"/>
  <c r="CS14" i="4"/>
  <c r="GS14" i="4" s="1"/>
  <c r="CW14" i="4"/>
  <c r="GW14" i="4" s="1"/>
  <c r="CL15" i="4"/>
  <c r="GL15" i="4" s="1"/>
  <c r="CP15" i="4"/>
  <c r="GP15" i="4" s="1"/>
  <c r="CT15" i="4"/>
  <c r="GT15" i="4" s="1"/>
  <c r="CQ15" i="4"/>
  <c r="GQ15" i="4" s="1"/>
  <c r="CF16" i="4"/>
  <c r="GF16" i="4" s="1"/>
  <c r="CW16" i="4"/>
  <c r="GW16" i="4" s="1"/>
  <c r="CL17" i="4"/>
  <c r="GL17" i="4" s="1"/>
  <c r="CP17" i="4"/>
  <c r="GP17" i="4" s="1"/>
  <c r="BZ9" i="4"/>
  <c r="CH9" i="4"/>
  <c r="CT9" i="4"/>
  <c r="GT9" i="4" s="1"/>
  <c r="CA9" i="4"/>
  <c r="CE9" i="4"/>
  <c r="L144" i="4" s="1"/>
  <c r="L163" i="4" s="1"/>
  <c r="CI9" i="4"/>
  <c r="CM9" i="4"/>
  <c r="GM9" i="4" s="1"/>
  <c r="CQ9" i="4"/>
  <c r="GQ9" i="4" s="1"/>
  <c r="CU9" i="4"/>
  <c r="GU9" i="4" s="1"/>
  <c r="CO10" i="4"/>
  <c r="GO10" i="4" s="1"/>
  <c r="CS10" i="4"/>
  <c r="GS10" i="4" s="1"/>
  <c r="CN11" i="4"/>
  <c r="GN11" i="4" s="1"/>
  <c r="CR11" i="4"/>
  <c r="GR11" i="4" s="1"/>
  <c r="CM12" i="4"/>
  <c r="GM12" i="4" s="1"/>
  <c r="CQ12" i="4"/>
  <c r="GQ12" i="4" s="1"/>
  <c r="CU12" i="4"/>
  <c r="GU12" i="4" s="1"/>
  <c r="BY13" i="4"/>
  <c r="CC13" i="4"/>
  <c r="CG13" i="4"/>
  <c r="CO13" i="4"/>
  <c r="GO13" i="4" s="1"/>
  <c r="CS13" i="4"/>
  <c r="GS13" i="4" s="1"/>
  <c r="CW13" i="4"/>
  <c r="GW13" i="4" s="1"/>
  <c r="CA15" i="4"/>
  <c r="GA15" i="4" s="1"/>
  <c r="CE15" i="4"/>
  <c r="GE15" i="4" s="1"/>
  <c r="CI15" i="4"/>
  <c r="GI15" i="4" s="1"/>
  <c r="CU15" i="4"/>
  <c r="GU15" i="4" s="1"/>
  <c r="BY16" i="4"/>
  <c r="FY16" i="4" s="1"/>
  <c r="CC16" i="4"/>
  <c r="GC16" i="4" s="1"/>
  <c r="CG16" i="4"/>
  <c r="GG16" i="4" s="1"/>
  <c r="CO16" i="4"/>
  <c r="GO16" i="4" s="1"/>
  <c r="CS16" i="4"/>
  <c r="GS16" i="4" s="1"/>
  <c r="CA17" i="4"/>
  <c r="GA17" i="4" s="1"/>
  <c r="CE17" i="4"/>
  <c r="GE17" i="4" s="1"/>
  <c r="CI17" i="4"/>
  <c r="GI17" i="4" s="1"/>
  <c r="CM17" i="4"/>
  <c r="GM17" i="4" s="1"/>
  <c r="CQ17" i="4"/>
  <c r="GQ17" i="4" s="1"/>
  <c r="CU17" i="4"/>
  <c r="GU17" i="4" s="1"/>
  <c r="CG18" i="4"/>
  <c r="GG18" i="4" s="1"/>
  <c r="CA20" i="4"/>
  <c r="GA20" i="4" s="1"/>
  <c r="CI20" i="4"/>
  <c r="GI20" i="4" s="1"/>
  <c r="GB28" i="4"/>
  <c r="GF28" i="4"/>
  <c r="GJ28" i="4"/>
  <c r="CG32" i="4"/>
  <c r="GG32" i="4" s="1"/>
  <c r="CA33" i="4"/>
  <c r="GA33" i="4" s="1"/>
  <c r="CQ16" i="4"/>
  <c r="GQ16" i="4" s="1"/>
  <c r="CU16" i="4"/>
  <c r="GU16" i="4" s="1"/>
  <c r="CB17" i="4"/>
  <c r="GB17" i="4" s="1"/>
  <c r="CF17" i="4"/>
  <c r="GF17" i="4" s="1"/>
  <c r="CJ17" i="4"/>
  <c r="GJ17" i="4" s="1"/>
  <c r="CN17" i="4"/>
  <c r="GN17" i="4" s="1"/>
  <c r="CR17" i="4"/>
  <c r="GR17" i="4" s="1"/>
  <c r="CV17" i="4"/>
  <c r="GV17" i="4" s="1"/>
  <c r="CO18" i="4"/>
  <c r="GO18" i="4" s="1"/>
  <c r="CS18" i="4"/>
  <c r="GS18" i="4" s="1"/>
  <c r="CW18" i="4"/>
  <c r="GW18" i="4" s="1"/>
  <c r="CO19" i="4"/>
  <c r="GO19" i="4" s="1"/>
  <c r="CS19" i="4"/>
  <c r="GS19" i="4" s="1"/>
  <c r="CW19" i="4"/>
  <c r="GW19" i="4" s="1"/>
  <c r="CM20" i="4"/>
  <c r="GM20" i="4" s="1"/>
  <c r="CQ20" i="4"/>
  <c r="GQ20" i="4" s="1"/>
  <c r="CU20" i="4"/>
  <c r="GU20" i="4" s="1"/>
  <c r="CM21" i="4"/>
  <c r="GM21" i="4" s="1"/>
  <c r="CQ21" i="4"/>
  <c r="GQ21" i="4" s="1"/>
  <c r="CU21" i="4"/>
  <c r="GU21" i="4" s="1"/>
  <c r="CP22" i="4"/>
  <c r="GP22" i="4" s="1"/>
  <c r="CP24" i="4"/>
  <c r="GP24" i="4" s="1"/>
  <c r="CJ25" i="4"/>
  <c r="GJ25" i="4" s="1"/>
  <c r="CN25" i="4"/>
  <c r="GN25" i="4" s="1"/>
  <c r="CR25" i="4"/>
  <c r="GR25" i="4" s="1"/>
  <c r="CV25" i="4"/>
  <c r="GV25" i="4" s="1"/>
  <c r="CB26" i="4"/>
  <c r="GB26" i="4" s="1"/>
  <c r="CF26" i="4"/>
  <c r="GF26" i="4" s="1"/>
  <c r="CJ26" i="4"/>
  <c r="GJ26" i="4" s="1"/>
  <c r="CN26" i="4"/>
  <c r="GN26" i="4" s="1"/>
  <c r="CR26" i="4"/>
  <c r="GR26" i="4" s="1"/>
  <c r="CV26" i="4"/>
  <c r="GV26" i="4" s="1"/>
  <c r="CM27" i="4"/>
  <c r="GM27" i="4" s="1"/>
  <c r="CQ27" i="4"/>
  <c r="GQ27" i="4" s="1"/>
  <c r="CS28" i="4"/>
  <c r="GS28" i="4" s="1"/>
  <c r="CW28" i="4"/>
  <c r="GW28" i="4" s="1"/>
  <c r="CN29" i="4"/>
  <c r="GN29" i="4" s="1"/>
  <c r="BZ31" i="4"/>
  <c r="CD31" i="4"/>
  <c r="CH31" i="4"/>
  <c r="CL31" i="4"/>
  <c r="CP31" i="4"/>
  <c r="CT31" i="4"/>
  <c r="CO32" i="4"/>
  <c r="GO32" i="4" s="1"/>
  <c r="CS32" i="4"/>
  <c r="GS32" i="4" s="1"/>
  <c r="CW32" i="4"/>
  <c r="GW32" i="4" s="1"/>
  <c r="CE33" i="4"/>
  <c r="GE33" i="4" s="1"/>
  <c r="CM33" i="4"/>
  <c r="GM33" i="4" s="1"/>
  <c r="CU33" i="4"/>
  <c r="GU33" i="4" s="1"/>
  <c r="CI21" i="4"/>
  <c r="GI21" i="4" s="1"/>
  <c r="CM24" i="4"/>
  <c r="GM24" i="4" s="1"/>
  <c r="CQ24" i="4"/>
  <c r="GQ24" i="4" s="1"/>
  <c r="CU24" i="4"/>
  <c r="GU24" i="4" s="1"/>
  <c r="BY27" i="4"/>
  <c r="FY27" i="4" s="1"/>
  <c r="CT27" i="4"/>
  <c r="GT27" i="4" s="1"/>
  <c r="CT28" i="4"/>
  <c r="GT28" i="4" s="1"/>
  <c r="CU31" i="4"/>
  <c r="O153" i="4" s="1"/>
  <c r="CP32" i="4"/>
  <c r="GP32" i="4" s="1"/>
  <c r="BY33" i="4"/>
  <c r="FY33" i="4" s="1"/>
  <c r="CF33" i="4"/>
  <c r="GF33" i="4" s="1"/>
  <c r="CJ33" i="4"/>
  <c r="GJ33" i="4" s="1"/>
  <c r="CN33" i="4"/>
  <c r="GN33" i="4" s="1"/>
  <c r="CR33" i="4"/>
  <c r="GR33" i="4" s="1"/>
  <c r="CV33" i="4"/>
  <c r="GV33" i="4" s="1"/>
  <c r="CB34" i="4"/>
  <c r="GB34" i="4" s="1"/>
  <c r="CF34" i="4"/>
  <c r="GF34" i="4" s="1"/>
  <c r="CJ34" i="4"/>
  <c r="GJ34" i="4" s="1"/>
  <c r="GD37" i="4"/>
  <c r="CP26" i="4"/>
  <c r="GP26" i="4" s="1"/>
  <c r="BY31" i="4"/>
  <c r="CN34" i="4"/>
  <c r="GN34" i="4" s="1"/>
  <c r="CR34" i="4"/>
  <c r="GR34" i="4" s="1"/>
  <c r="CV34" i="4"/>
  <c r="GV34" i="4" s="1"/>
  <c r="CN36" i="4"/>
  <c r="GN36" i="4" s="1"/>
  <c r="CR36" i="4"/>
  <c r="GR36" i="4" s="1"/>
  <c r="CV36" i="4"/>
  <c r="GV36" i="4" s="1"/>
  <c r="BY37" i="4"/>
  <c r="CC37" i="4"/>
  <c r="J150" i="4" s="1"/>
  <c r="CG37" i="4"/>
  <c r="N150" i="4" s="1"/>
  <c r="CO37" i="4"/>
  <c r="GO37" i="4" s="1"/>
  <c r="CS37" i="4"/>
  <c r="GS37" i="4" s="1"/>
  <c r="CW37" i="4"/>
  <c r="GW37" i="4" s="1"/>
  <c r="CO36" i="4"/>
  <c r="GO36" i="4" s="1"/>
  <c r="CS36" i="4"/>
  <c r="GS36" i="4" s="1"/>
  <c r="CL37" i="4"/>
  <c r="GL37" i="4" s="1"/>
  <c r="CP37" i="4"/>
  <c r="GP37" i="4" s="1"/>
  <c r="CT37" i="4"/>
  <c r="GT37" i="4" s="1"/>
  <c r="GJ9" i="4"/>
  <c r="CB10" i="4"/>
  <c r="GB10" i="4" s="1"/>
  <c r="CF10" i="4"/>
  <c r="GF10" i="4" s="1"/>
  <c r="CJ10" i="4"/>
  <c r="GJ10" i="4" s="1"/>
  <c r="CN10" i="4"/>
  <c r="GN10" i="4" s="1"/>
  <c r="CR10" i="4"/>
  <c r="GR10" i="4" s="1"/>
  <c r="CC10" i="4"/>
  <c r="GC10" i="4" s="1"/>
  <c r="BZ14" i="4"/>
  <c r="FZ14" i="4" s="1"/>
  <c r="CD14" i="4"/>
  <c r="GD14" i="4" s="1"/>
  <c r="CH14" i="4"/>
  <c r="GH14" i="4" s="1"/>
  <c r="CL14" i="4"/>
  <c r="GL14" i="4" s="1"/>
  <c r="CP14" i="4"/>
  <c r="GP14" i="4" s="1"/>
  <c r="CT14" i="4"/>
  <c r="GT14" i="4" s="1"/>
  <c r="CC25" i="4"/>
  <c r="GC25" i="4" s="1"/>
  <c r="CB25" i="4"/>
  <c r="GB25" i="4" s="1"/>
  <c r="CG25" i="4"/>
  <c r="GG25" i="4" s="1"/>
  <c r="CF25" i="4"/>
  <c r="GF25" i="4" s="1"/>
  <c r="CG10" i="4"/>
  <c r="GG10" i="4" s="1"/>
  <c r="BZ16" i="4"/>
  <c r="FZ16" i="4" s="1"/>
  <c r="CD16" i="4"/>
  <c r="GD16" i="4" s="1"/>
  <c r="CH16" i="4"/>
  <c r="GH16" i="4" s="1"/>
  <c r="CL16" i="4"/>
  <c r="GL16" i="4" s="1"/>
  <c r="CP16" i="4"/>
  <c r="GP16" i="4" s="1"/>
  <c r="CT16" i="4"/>
  <c r="GT16" i="4" s="1"/>
  <c r="CA24" i="4"/>
  <c r="GA24" i="4" s="1"/>
  <c r="BZ24" i="4"/>
  <c r="FZ24" i="4" s="1"/>
  <c r="CE24" i="4"/>
  <c r="GE24" i="4" s="1"/>
  <c r="CD24" i="4"/>
  <c r="GD24" i="4" s="1"/>
  <c r="CI24" i="4"/>
  <c r="GI24" i="4" s="1"/>
  <c r="CH24" i="4"/>
  <c r="GH24" i="4" s="1"/>
  <c r="CO25" i="4"/>
  <c r="GO25" i="4" s="1"/>
  <c r="CS25" i="4"/>
  <c r="GS25" i="4" s="1"/>
  <c r="CW25" i="4"/>
  <c r="GW25" i="4" s="1"/>
  <c r="CA18" i="4"/>
  <c r="GA18" i="4" s="1"/>
  <c r="CI18" i="4"/>
  <c r="GI18" i="4" s="1"/>
  <c r="CA19" i="4"/>
  <c r="GA19" i="4" s="1"/>
  <c r="CC23" i="4"/>
  <c r="GC23" i="4" s="1"/>
  <c r="CB23" i="4"/>
  <c r="GB23" i="4" s="1"/>
  <c r="CG23" i="4"/>
  <c r="GG23" i="4" s="1"/>
  <c r="CF23" i="4"/>
  <c r="GF23" i="4" s="1"/>
  <c r="CF27" i="4"/>
  <c r="GF27" i="4" s="1"/>
  <c r="CG27" i="4"/>
  <c r="GG27" i="4" s="1"/>
  <c r="CC33" i="4"/>
  <c r="GC33" i="4" s="1"/>
  <c r="CB33" i="4"/>
  <c r="GB33" i="4" s="1"/>
  <c r="CC18" i="4"/>
  <c r="GC18" i="4" s="1"/>
  <c r="CC19" i="4"/>
  <c r="GC19" i="4" s="1"/>
  <c r="CC20" i="4"/>
  <c r="GC20" i="4" s="1"/>
  <c r="CC21" i="4"/>
  <c r="GC21" i="4" s="1"/>
  <c r="CB21" i="4"/>
  <c r="GB21" i="4" s="1"/>
  <c r="CG21" i="4"/>
  <c r="GG21" i="4" s="1"/>
  <c r="CF21" i="4"/>
  <c r="GF21" i="4" s="1"/>
  <c r="CE21" i="4"/>
  <c r="GE21" i="4" s="1"/>
  <c r="CA22" i="4"/>
  <c r="GA22" i="4" s="1"/>
  <c r="BZ22" i="4"/>
  <c r="FZ22" i="4" s="1"/>
  <c r="CE22" i="4"/>
  <c r="GE22" i="4" s="1"/>
  <c r="CD22" i="4"/>
  <c r="GD22" i="4" s="1"/>
  <c r="CI22" i="4"/>
  <c r="GI22" i="4" s="1"/>
  <c r="CH22" i="4"/>
  <c r="GH22" i="4" s="1"/>
  <c r="CO23" i="4"/>
  <c r="GO23" i="4" s="1"/>
  <c r="CS23" i="4"/>
  <c r="GS23" i="4" s="1"/>
  <c r="CW23" i="4"/>
  <c r="GW23" i="4" s="1"/>
  <c r="CA26" i="4"/>
  <c r="GA26" i="4" s="1"/>
  <c r="BZ26" i="4"/>
  <c r="FZ26" i="4" s="1"/>
  <c r="CE26" i="4"/>
  <c r="GE26" i="4" s="1"/>
  <c r="CD26" i="4"/>
  <c r="GD26" i="4" s="1"/>
  <c r="CI26" i="4"/>
  <c r="GI26" i="4" s="1"/>
  <c r="CH26" i="4"/>
  <c r="GH26" i="4" s="1"/>
  <c r="CO27" i="4"/>
  <c r="GO27" i="4" s="1"/>
  <c r="CS27" i="4"/>
  <c r="GS27" i="4" s="1"/>
  <c r="CW27" i="4"/>
  <c r="GW27" i="4" s="1"/>
  <c r="BY28" i="4"/>
  <c r="F147" i="4" s="1"/>
  <c r="CC28" i="4"/>
  <c r="J147" i="4" s="1"/>
  <c r="CG28" i="4"/>
  <c r="N147" i="4" s="1"/>
  <c r="CU29" i="4"/>
  <c r="GU29" i="4" s="1"/>
  <c r="CV29" i="4"/>
  <c r="GV29" i="4" s="1"/>
  <c r="CR29" i="4"/>
  <c r="GR29" i="4" s="1"/>
  <c r="CA27" i="4"/>
  <c r="GA27" i="4" s="1"/>
  <c r="CE27" i="4"/>
  <c r="GE27" i="4" s="1"/>
  <c r="CI27" i="4"/>
  <c r="GI27" i="4" s="1"/>
  <c r="CA32" i="4"/>
  <c r="GA32" i="4" s="1"/>
  <c r="BZ32" i="4"/>
  <c r="FZ32" i="4" s="1"/>
  <c r="CE32" i="4"/>
  <c r="GE32" i="4" s="1"/>
  <c r="CD32" i="4"/>
  <c r="GD32" i="4" s="1"/>
  <c r="CI32" i="4"/>
  <c r="GI32" i="4" s="1"/>
  <c r="CH32" i="4"/>
  <c r="GH32" i="4" s="1"/>
  <c r="CC31" i="4"/>
  <c r="CB31" i="4"/>
  <c r="CG31" i="4"/>
  <c r="CF31" i="4"/>
  <c r="CG33" i="4"/>
  <c r="GG33" i="4" s="1"/>
  <c r="CO33" i="4"/>
  <c r="GO33" i="4" s="1"/>
  <c r="CS33" i="4"/>
  <c r="GS33" i="4" s="1"/>
  <c r="CW33" i="4"/>
  <c r="GW33" i="4" s="1"/>
  <c r="BZ34" i="4"/>
  <c r="FZ34" i="4" s="1"/>
  <c r="CD34" i="4"/>
  <c r="GD34" i="4" s="1"/>
  <c r="CH34" i="4"/>
  <c r="GH34" i="4" s="1"/>
  <c r="CL34" i="4"/>
  <c r="GL34" i="4" s="1"/>
  <c r="CP34" i="4"/>
  <c r="GP34" i="4" s="1"/>
  <c r="CT34" i="4"/>
  <c r="GT34" i="4" s="1"/>
  <c r="CI33" i="4"/>
  <c r="GI33" i="4" s="1"/>
  <c r="CL36" i="4"/>
  <c r="GL36" i="4" s="1"/>
  <c r="CP36" i="4"/>
  <c r="GP36" i="4" s="1"/>
  <c r="CT36" i="4"/>
  <c r="GT36" i="4" s="1"/>
  <c r="GV31" i="4" l="1"/>
  <c r="P153" i="4"/>
  <c r="GS31" i="4"/>
  <c r="GS38" i="4" s="1"/>
  <c r="M96" i="4" s="1"/>
  <c r="M153" i="4"/>
  <c r="GQ31" i="4"/>
  <c r="K153" i="4"/>
  <c r="GR31" i="4"/>
  <c r="L153" i="4"/>
  <c r="GN31" i="4"/>
  <c r="H153" i="4"/>
  <c r="GO31" i="4"/>
  <c r="I153" i="4"/>
  <c r="GM31" i="4"/>
  <c r="G153" i="4"/>
  <c r="N153" i="4"/>
  <c r="J153" i="4"/>
  <c r="GW31" i="4"/>
  <c r="Q153" i="4"/>
  <c r="H161" i="4"/>
  <c r="O161" i="4"/>
  <c r="K161" i="4"/>
  <c r="M161" i="4"/>
  <c r="G150" i="4"/>
  <c r="I149" i="4"/>
  <c r="I169" i="4" s="1"/>
  <c r="I146" i="4"/>
  <c r="GG9" i="4"/>
  <c r="N144" i="4"/>
  <c r="N163" i="4" s="1"/>
  <c r="J149" i="4"/>
  <c r="J169" i="4" s="1"/>
  <c r="GA9" i="4"/>
  <c r="H144" i="4"/>
  <c r="H163" i="4" s="1"/>
  <c r="GJ37" i="4"/>
  <c r="Q150" i="4"/>
  <c r="GJ31" i="4"/>
  <c r="Q149" i="4"/>
  <c r="Q169" i="4" s="1"/>
  <c r="GC9" i="4"/>
  <c r="J144" i="4"/>
  <c r="J163" i="4" s="1"/>
  <c r="GE37" i="4"/>
  <c r="L150" i="4"/>
  <c r="GE12" i="4"/>
  <c r="L145" i="4"/>
  <c r="GI31" i="4"/>
  <c r="P149" i="4"/>
  <c r="P169" i="4" s="1"/>
  <c r="GD13" i="4"/>
  <c r="K146" i="4"/>
  <c r="K172" i="4" s="1"/>
  <c r="GI37" i="4"/>
  <c r="P150" i="4"/>
  <c r="M149" i="4"/>
  <c r="M169" i="4" s="1"/>
  <c r="O149" i="4"/>
  <c r="O169" i="4" s="1"/>
  <c r="N146" i="4"/>
  <c r="N166" i="4" s="1"/>
  <c r="Q146" i="4"/>
  <c r="GD9" i="4"/>
  <c r="K144" i="4"/>
  <c r="K163" i="4" s="1"/>
  <c r="GF37" i="4"/>
  <c r="M150" i="4"/>
  <c r="GG12" i="4"/>
  <c r="N145" i="4"/>
  <c r="Q144" i="4"/>
  <c r="Q163" i="4" s="1"/>
  <c r="GI13" i="4"/>
  <c r="P146" i="4"/>
  <c r="GA37" i="4"/>
  <c r="H150" i="4"/>
  <c r="GE31" i="4"/>
  <c r="L149" i="4"/>
  <c r="L169" i="4" s="1"/>
  <c r="O146" i="4"/>
  <c r="O172" i="4" s="1"/>
  <c r="GB12" i="4"/>
  <c r="I145" i="4"/>
  <c r="GA13" i="4"/>
  <c r="H146" i="4"/>
  <c r="H172" i="4" s="1"/>
  <c r="N151" i="4"/>
  <c r="N149" i="4"/>
  <c r="N169" i="4" s="1"/>
  <c r="K149" i="4"/>
  <c r="K169" i="4" s="1"/>
  <c r="J146" i="4"/>
  <c r="J166" i="4" s="1"/>
  <c r="GI9" i="4"/>
  <c r="P144" i="4"/>
  <c r="P163" i="4" s="1"/>
  <c r="GH9" i="4"/>
  <c r="O144" i="4"/>
  <c r="O163" i="4" s="1"/>
  <c r="M146" i="4"/>
  <c r="M172" i="4" s="1"/>
  <c r="GJ12" i="4"/>
  <c r="Q145" i="4"/>
  <c r="GF9" i="4"/>
  <c r="M144" i="4"/>
  <c r="M163" i="4" s="1"/>
  <c r="GI12" i="4"/>
  <c r="P145" i="4"/>
  <c r="GC12" i="4"/>
  <c r="J145" i="4"/>
  <c r="GB9" i="4"/>
  <c r="I144" i="4"/>
  <c r="I163" i="4" s="1"/>
  <c r="GE13" i="4"/>
  <c r="L146" i="4"/>
  <c r="GA31" i="4"/>
  <c r="H149" i="4"/>
  <c r="H169" i="4" s="1"/>
  <c r="GA28" i="4"/>
  <c r="FZ28" i="4"/>
  <c r="GD28" i="4"/>
  <c r="GI28" i="4"/>
  <c r="GE28" i="4"/>
  <c r="GH28" i="4"/>
  <c r="GF12" i="4"/>
  <c r="G144" i="4"/>
  <c r="G163" i="4" s="1"/>
  <c r="G164" i="4" s="1"/>
  <c r="F145" i="4"/>
  <c r="GB37" i="4"/>
  <c r="FZ9" i="4"/>
  <c r="GE9" i="4"/>
  <c r="F144" i="4"/>
  <c r="F163" i="4" s="1"/>
  <c r="GC31" i="4"/>
  <c r="GG28" i="4"/>
  <c r="GB31" i="4"/>
  <c r="FY28" i="4"/>
  <c r="FY31" i="4"/>
  <c r="F149" i="4"/>
  <c r="F169" i="4" s="1"/>
  <c r="GL31" i="4"/>
  <c r="F153" i="4"/>
  <c r="FY13" i="4"/>
  <c r="F146" i="4"/>
  <c r="GJ13" i="4"/>
  <c r="GD12" i="4"/>
  <c r="GH31" i="4"/>
  <c r="GF13" i="4"/>
  <c r="FZ12" i="4"/>
  <c r="G145" i="4"/>
  <c r="GF31" i="4"/>
  <c r="GC37" i="4"/>
  <c r="GU31" i="4"/>
  <c r="GU38" i="4" s="1"/>
  <c r="O96" i="4" s="1"/>
  <c r="GT31" i="4"/>
  <c r="GT38" i="4" s="1"/>
  <c r="N96" i="4" s="1"/>
  <c r="GD31" i="4"/>
  <c r="GG13" i="4"/>
  <c r="GB13" i="4"/>
  <c r="GW38" i="4"/>
  <c r="Q96" i="4" s="1"/>
  <c r="GG37" i="4"/>
  <c r="GG31" i="4"/>
  <c r="GC28" i="4"/>
  <c r="FY37" i="4"/>
  <c r="F150" i="4"/>
  <c r="GP31" i="4"/>
  <c r="FZ31" i="4"/>
  <c r="G149" i="4"/>
  <c r="G169" i="4" s="1"/>
  <c r="G170" i="4" s="1"/>
  <c r="GC13" i="4"/>
  <c r="GA12" i="4"/>
  <c r="GH12" i="4"/>
  <c r="G146" i="4"/>
  <c r="CG38" i="4"/>
  <c r="CU38" i="4"/>
  <c r="CE38" i="4"/>
  <c r="BZ38" i="4"/>
  <c r="G175" i="4" s="1"/>
  <c r="G178" i="4" s="1"/>
  <c r="G179" i="4" s="1"/>
  <c r="CT38" i="4"/>
  <c r="CD38" i="4"/>
  <c r="CS38" i="4"/>
  <c r="CC38" i="4"/>
  <c r="GV38" i="4"/>
  <c r="P96" i="4" s="1"/>
  <c r="CW38" i="4"/>
  <c r="BY38" i="4"/>
  <c r="F175" i="4" s="1"/>
  <c r="CI38" i="4"/>
  <c r="CA38" i="4"/>
  <c r="CF38" i="4"/>
  <c r="CH38" i="4"/>
  <c r="CJ38" i="4"/>
  <c r="CV38" i="4"/>
  <c r="CB38" i="4"/>
  <c r="Q97" i="4" l="1"/>
  <c r="Q152" i="4"/>
  <c r="Q154" i="4" s="1"/>
  <c r="Q181" i="4"/>
  <c r="O97" i="4"/>
  <c r="O152" i="4"/>
  <c r="O154" i="4" s="1"/>
  <c r="O181" i="4"/>
  <c r="P97" i="4"/>
  <c r="P181" i="4"/>
  <c r="P152" i="4"/>
  <c r="P154" i="4" s="1"/>
  <c r="N97" i="4"/>
  <c r="N152" i="4"/>
  <c r="N154" i="4" s="1"/>
  <c r="N181" i="4"/>
  <c r="M97" i="4"/>
  <c r="M181" i="4"/>
  <c r="M152" i="4"/>
  <c r="M154" i="4" s="1"/>
  <c r="F170" i="4"/>
  <c r="E170" i="4" s="1"/>
  <c r="E169" i="4"/>
  <c r="F164" i="4"/>
  <c r="E164" i="4" s="1"/>
  <c r="E163" i="4"/>
  <c r="F178" i="4"/>
  <c r="GJ38" i="4"/>
  <c r="Q75" i="4" s="1"/>
  <c r="Q90" i="4" s="1"/>
  <c r="H140" i="4"/>
  <c r="H175" i="4"/>
  <c r="H178" i="4" s="1"/>
  <c r="H179" i="4" s="1"/>
  <c r="N140" i="4"/>
  <c r="N175" i="4"/>
  <c r="N178" i="4" s="1"/>
  <c r="F172" i="4"/>
  <c r="I161" i="4"/>
  <c r="I172" i="4"/>
  <c r="I140" i="4"/>
  <c r="I175" i="4"/>
  <c r="I178" i="4" s="1"/>
  <c r="Q140" i="4"/>
  <c r="Q175" i="4"/>
  <c r="Q178" i="4" s="1"/>
  <c r="P140" i="4"/>
  <c r="P175" i="4"/>
  <c r="P178" i="4" s="1"/>
  <c r="J140" i="4"/>
  <c r="J175" i="4"/>
  <c r="J178" i="4" s="1"/>
  <c r="J161" i="4"/>
  <c r="J172" i="4"/>
  <c r="O140" i="4"/>
  <c r="O175" i="4"/>
  <c r="O178" i="4" s="1"/>
  <c r="L140" i="4"/>
  <c r="L175" i="4"/>
  <c r="L178" i="4" s="1"/>
  <c r="N161" i="4"/>
  <c r="N172" i="4"/>
  <c r="L161" i="4"/>
  <c r="L172" i="4"/>
  <c r="M140" i="4"/>
  <c r="M175" i="4"/>
  <c r="M178" i="4" s="1"/>
  <c r="K140" i="4"/>
  <c r="K175" i="4"/>
  <c r="K178" i="4" s="1"/>
  <c r="G172" i="4"/>
  <c r="G173" i="4" s="1"/>
  <c r="P161" i="4"/>
  <c r="P172" i="4"/>
  <c r="Q161" i="4"/>
  <c r="Q172" i="4"/>
  <c r="GH38" i="4"/>
  <c r="O75" i="4" s="1"/>
  <c r="O90" i="4" s="1"/>
  <c r="GI38" i="4"/>
  <c r="P75" i="4" s="1"/>
  <c r="P90" i="4" s="1"/>
  <c r="GE38" i="4"/>
  <c r="L75" i="4" s="1"/>
  <c r="L90" i="4" s="1"/>
  <c r="J151" i="4"/>
  <c r="O151" i="4"/>
  <c r="O166" i="4"/>
  <c r="P151" i="4"/>
  <c r="P166" i="4"/>
  <c r="H151" i="4"/>
  <c r="H166" i="4"/>
  <c r="K151" i="4"/>
  <c r="K166" i="4"/>
  <c r="G151" i="4"/>
  <c r="G166" i="4"/>
  <c r="G167" i="4" s="1"/>
  <c r="F151" i="4"/>
  <c r="F166" i="4"/>
  <c r="L151" i="4"/>
  <c r="L166" i="4"/>
  <c r="M151" i="4"/>
  <c r="M166" i="4"/>
  <c r="Q151" i="4"/>
  <c r="Q166" i="4"/>
  <c r="GA38" i="4"/>
  <c r="H75" i="4" s="1"/>
  <c r="H90" i="4" s="1"/>
  <c r="I151" i="4"/>
  <c r="I166" i="4"/>
  <c r="M98" i="4"/>
  <c r="M102" i="4"/>
  <c r="O98" i="4"/>
  <c r="O102" i="4"/>
  <c r="P98" i="4"/>
  <c r="P102" i="4"/>
  <c r="N98" i="4"/>
  <c r="N102" i="4"/>
  <c r="Q98" i="4"/>
  <c r="Q102" i="4"/>
  <c r="AJ9" i="4"/>
  <c r="AJ41" i="4" s="1"/>
  <c r="F91" i="4"/>
  <c r="AS9" i="4"/>
  <c r="AS41" i="4" s="1"/>
  <c r="O91" i="4"/>
  <c r="AK9" i="4"/>
  <c r="AK41" i="4" s="1"/>
  <c r="G91" i="4"/>
  <c r="AM9" i="4"/>
  <c r="AM41" i="4" s="1"/>
  <c r="I91" i="4"/>
  <c r="AQ9" i="4"/>
  <c r="AQ41" i="4" s="1"/>
  <c r="M91" i="4"/>
  <c r="AP9" i="4"/>
  <c r="AP41" i="4" s="1"/>
  <c r="L91" i="4"/>
  <c r="AL9" i="4"/>
  <c r="AL41" i="4" s="1"/>
  <c r="H91" i="4"/>
  <c r="AO9" i="4"/>
  <c r="AO41" i="4" s="1"/>
  <c r="K91" i="4"/>
  <c r="AN9" i="4"/>
  <c r="AN41" i="4" s="1"/>
  <c r="J91" i="4"/>
  <c r="AU9" i="4"/>
  <c r="AU41" i="4" s="1"/>
  <c r="Q91" i="4"/>
  <c r="AT9" i="4"/>
  <c r="AT41" i="4" s="1"/>
  <c r="P91" i="4"/>
  <c r="AR9" i="4"/>
  <c r="AR41" i="4" s="1"/>
  <c r="N91" i="4"/>
  <c r="GD38" i="4"/>
  <c r="K75" i="4" s="1"/>
  <c r="K90" i="4" s="1"/>
  <c r="GF38" i="4"/>
  <c r="GC38" i="4"/>
  <c r="J75" i="4" s="1"/>
  <c r="J90" i="4" s="1"/>
  <c r="FY38" i="4"/>
  <c r="F75" i="4" s="1"/>
  <c r="F90" i="4" s="1"/>
  <c r="GG38" i="4"/>
  <c r="GB38" i="4"/>
  <c r="FZ38" i="4"/>
  <c r="G75" i="4" s="1"/>
  <c r="G90" i="4" s="1"/>
  <c r="O76" i="4"/>
  <c r="P76" i="4"/>
  <c r="N76" i="4"/>
  <c r="Q76" i="4"/>
  <c r="F140" i="4"/>
  <c r="G140" i="4"/>
  <c r="M76" i="4"/>
  <c r="AN36" i="4"/>
  <c r="AN68" i="4" s="1"/>
  <c r="AN34" i="4"/>
  <c r="AN66" i="4" s="1"/>
  <c r="AN37" i="4"/>
  <c r="AN69" i="4" s="1"/>
  <c r="AN35" i="4"/>
  <c r="AN67" i="4" s="1"/>
  <c r="AN32" i="4"/>
  <c r="AN64" i="4" s="1"/>
  <c r="AN31" i="4"/>
  <c r="AN63" i="4" s="1"/>
  <c r="AN30" i="4"/>
  <c r="AN62" i="4" s="1"/>
  <c r="AN33" i="4"/>
  <c r="AN65" i="4" s="1"/>
  <c r="AN29" i="4"/>
  <c r="AN61" i="4" s="1"/>
  <c r="AN26" i="4"/>
  <c r="AN58" i="4" s="1"/>
  <c r="AN24" i="4"/>
  <c r="AN56" i="4" s="1"/>
  <c r="AN22" i="4"/>
  <c r="AN54" i="4" s="1"/>
  <c r="AN21" i="4"/>
  <c r="AN53" i="4" s="1"/>
  <c r="AN20" i="4"/>
  <c r="AN52" i="4" s="1"/>
  <c r="AN19" i="4"/>
  <c r="AN51" i="4" s="1"/>
  <c r="AN18" i="4"/>
  <c r="AN50" i="4" s="1"/>
  <c r="AN16" i="4"/>
  <c r="AN48" i="4" s="1"/>
  <c r="AN14" i="4"/>
  <c r="AN46" i="4" s="1"/>
  <c r="AN11" i="4"/>
  <c r="AN43" i="4" s="1"/>
  <c r="AN25" i="4"/>
  <c r="AN57" i="4" s="1"/>
  <c r="AN17" i="4"/>
  <c r="AN49" i="4" s="1"/>
  <c r="AN15" i="4"/>
  <c r="AN47" i="4" s="1"/>
  <c r="AN13" i="4"/>
  <c r="AN45" i="4" s="1"/>
  <c r="AN23" i="4"/>
  <c r="AN55" i="4" s="1"/>
  <c r="AN12" i="4"/>
  <c r="AN44" i="4" s="1"/>
  <c r="AN10" i="4"/>
  <c r="AN42" i="4" s="1"/>
  <c r="AN27" i="4"/>
  <c r="AN59" i="4" s="1"/>
  <c r="AM36" i="4"/>
  <c r="AM68" i="4" s="1"/>
  <c r="AM34" i="4"/>
  <c r="AM66" i="4" s="1"/>
  <c r="AM37" i="4"/>
  <c r="AM69" i="4" s="1"/>
  <c r="AM33" i="4"/>
  <c r="AM65" i="4" s="1"/>
  <c r="AM31" i="4"/>
  <c r="AM63" i="4" s="1"/>
  <c r="AM35" i="4"/>
  <c r="AM67" i="4" s="1"/>
  <c r="AM32" i="4"/>
  <c r="AM64" i="4" s="1"/>
  <c r="AM30" i="4"/>
  <c r="AM62" i="4" s="1"/>
  <c r="AM29" i="4"/>
  <c r="AM61" i="4" s="1"/>
  <c r="AM27" i="4"/>
  <c r="AM59" i="4" s="1"/>
  <c r="AM25" i="4"/>
  <c r="AM57" i="4" s="1"/>
  <c r="AM23" i="4"/>
  <c r="AM55" i="4" s="1"/>
  <c r="AM21" i="4"/>
  <c r="AM53" i="4" s="1"/>
  <c r="AM19" i="4"/>
  <c r="AM51" i="4" s="1"/>
  <c r="AM26" i="4"/>
  <c r="AM58" i="4" s="1"/>
  <c r="AM24" i="4"/>
  <c r="AM56" i="4" s="1"/>
  <c r="AM22" i="4"/>
  <c r="AM54" i="4" s="1"/>
  <c r="AM20" i="4"/>
  <c r="AM52" i="4" s="1"/>
  <c r="AM18" i="4"/>
  <c r="AM50" i="4" s="1"/>
  <c r="AM12" i="4"/>
  <c r="AM44" i="4" s="1"/>
  <c r="AM16" i="4"/>
  <c r="AM48" i="4" s="1"/>
  <c r="AM14" i="4"/>
  <c r="AM46" i="4" s="1"/>
  <c r="AM11" i="4"/>
  <c r="AM43" i="4" s="1"/>
  <c r="AM17" i="4"/>
  <c r="AM49" i="4" s="1"/>
  <c r="AM13" i="4"/>
  <c r="AM45" i="4" s="1"/>
  <c r="AM10" i="4"/>
  <c r="AM42" i="4" s="1"/>
  <c r="AM15" i="4"/>
  <c r="AM47" i="4" s="1"/>
  <c r="AT37" i="4"/>
  <c r="AT69" i="4" s="1"/>
  <c r="AT35" i="4"/>
  <c r="AT67" i="4" s="1"/>
  <c r="AT36" i="4"/>
  <c r="AT68" i="4" s="1"/>
  <c r="AT34" i="4"/>
  <c r="AT66" i="4" s="1"/>
  <c r="AT33" i="4"/>
  <c r="AT65" i="4" s="1"/>
  <c r="AT31" i="4"/>
  <c r="AT63" i="4" s="1"/>
  <c r="AT29" i="4"/>
  <c r="AT61" i="4" s="1"/>
  <c r="AT32" i="4"/>
  <c r="AT64" i="4" s="1"/>
  <c r="AT30" i="4"/>
  <c r="AT62" i="4" s="1"/>
  <c r="AT28" i="4"/>
  <c r="AT60" i="4" s="1"/>
  <c r="AT27" i="4"/>
  <c r="AT59" i="4" s="1"/>
  <c r="AT25" i="4"/>
  <c r="AT57" i="4" s="1"/>
  <c r="AT23" i="4"/>
  <c r="AT55" i="4" s="1"/>
  <c r="AT17" i="4"/>
  <c r="AT49" i="4" s="1"/>
  <c r="AT15" i="4"/>
  <c r="AT47" i="4" s="1"/>
  <c r="AT13" i="4"/>
  <c r="AT45" i="4" s="1"/>
  <c r="AT24" i="4"/>
  <c r="AT56" i="4" s="1"/>
  <c r="AT21" i="4"/>
  <c r="AT53" i="4" s="1"/>
  <c r="AT20" i="4"/>
  <c r="AT52" i="4" s="1"/>
  <c r="AT19" i="4"/>
  <c r="AT51" i="4" s="1"/>
  <c r="AT18" i="4"/>
  <c r="AT50" i="4" s="1"/>
  <c r="AT12" i="4"/>
  <c r="AT44" i="4" s="1"/>
  <c r="AT16" i="4"/>
  <c r="AT48" i="4" s="1"/>
  <c r="AT14" i="4"/>
  <c r="AT46" i="4" s="1"/>
  <c r="AT11" i="4"/>
  <c r="AT43" i="4" s="1"/>
  <c r="AT10" i="4"/>
  <c r="AT42" i="4" s="1"/>
  <c r="AT26" i="4"/>
  <c r="AT58" i="4" s="1"/>
  <c r="AT22" i="4"/>
  <c r="AT54" i="4" s="1"/>
  <c r="AR36" i="4"/>
  <c r="AR68" i="4" s="1"/>
  <c r="AR34" i="4"/>
  <c r="AR66" i="4" s="1"/>
  <c r="AR37" i="4"/>
  <c r="AR69" i="4" s="1"/>
  <c r="AR35" i="4"/>
  <c r="AR67" i="4" s="1"/>
  <c r="AR32" i="4"/>
  <c r="AR64" i="4" s="1"/>
  <c r="AR33" i="4"/>
  <c r="AR65" i="4" s="1"/>
  <c r="AR31" i="4"/>
  <c r="AR63" i="4" s="1"/>
  <c r="AR30" i="4"/>
  <c r="AR62" i="4" s="1"/>
  <c r="AR29" i="4"/>
  <c r="AR61" i="4" s="1"/>
  <c r="AR28" i="4"/>
  <c r="AR60" i="4" s="1"/>
  <c r="AR26" i="4"/>
  <c r="AR58" i="4" s="1"/>
  <c r="AR24" i="4"/>
  <c r="AR56" i="4" s="1"/>
  <c r="AR22" i="4"/>
  <c r="AR54" i="4" s="1"/>
  <c r="AR25" i="4"/>
  <c r="AR57" i="4" s="1"/>
  <c r="AR16" i="4"/>
  <c r="AR48" i="4" s="1"/>
  <c r="AR14" i="4"/>
  <c r="AR46" i="4" s="1"/>
  <c r="AR11" i="4"/>
  <c r="AR43" i="4" s="1"/>
  <c r="AR27" i="4"/>
  <c r="AR59" i="4" s="1"/>
  <c r="AR23" i="4"/>
  <c r="AR55" i="4" s="1"/>
  <c r="AR21" i="4"/>
  <c r="AR53" i="4" s="1"/>
  <c r="AR20" i="4"/>
  <c r="AR52" i="4" s="1"/>
  <c r="AR19" i="4"/>
  <c r="AR51" i="4" s="1"/>
  <c r="AR18" i="4"/>
  <c r="AR50" i="4" s="1"/>
  <c r="AR17" i="4"/>
  <c r="AR49" i="4" s="1"/>
  <c r="AR15" i="4"/>
  <c r="AR47" i="4" s="1"/>
  <c r="AR13" i="4"/>
  <c r="AR45" i="4" s="1"/>
  <c r="AR10" i="4"/>
  <c r="AR42" i="4" s="1"/>
  <c r="AR12" i="4"/>
  <c r="AR44" i="4" s="1"/>
  <c r="AS37" i="4"/>
  <c r="AS69" i="4" s="1"/>
  <c r="AS35" i="4"/>
  <c r="AS67" i="4" s="1"/>
  <c r="AS32" i="4"/>
  <c r="AS64" i="4" s="1"/>
  <c r="AS30" i="4"/>
  <c r="AS62" i="4" s="1"/>
  <c r="AS34" i="4"/>
  <c r="AS66" i="4" s="1"/>
  <c r="AS33" i="4"/>
  <c r="AS65" i="4" s="1"/>
  <c r="AS31" i="4"/>
  <c r="AS63" i="4" s="1"/>
  <c r="AS36" i="4"/>
  <c r="AS68" i="4" s="1"/>
  <c r="AS29" i="4"/>
  <c r="AS61" i="4" s="1"/>
  <c r="AS28" i="4"/>
  <c r="AS60" i="4" s="1"/>
  <c r="AS26" i="4"/>
  <c r="AS58" i="4" s="1"/>
  <c r="AS24" i="4"/>
  <c r="AS56" i="4" s="1"/>
  <c r="AS22" i="4"/>
  <c r="AS54" i="4" s="1"/>
  <c r="AS20" i="4"/>
  <c r="AS52" i="4" s="1"/>
  <c r="AS18" i="4"/>
  <c r="AS50" i="4" s="1"/>
  <c r="AS27" i="4"/>
  <c r="AS59" i="4" s="1"/>
  <c r="AS25" i="4"/>
  <c r="AS57" i="4" s="1"/>
  <c r="AS23" i="4"/>
  <c r="AS55" i="4" s="1"/>
  <c r="AS21" i="4"/>
  <c r="AS53" i="4" s="1"/>
  <c r="AS19" i="4"/>
  <c r="AS51" i="4" s="1"/>
  <c r="AS10" i="4"/>
  <c r="AS42" i="4" s="1"/>
  <c r="AS17" i="4"/>
  <c r="AS49" i="4" s="1"/>
  <c r="AS15" i="4"/>
  <c r="AS47" i="4" s="1"/>
  <c r="AS13" i="4"/>
  <c r="AS45" i="4" s="1"/>
  <c r="AS12" i="4"/>
  <c r="AS44" i="4" s="1"/>
  <c r="AS11" i="4"/>
  <c r="AS43" i="4" s="1"/>
  <c r="AS14" i="4"/>
  <c r="AS46" i="4" s="1"/>
  <c r="AS16" i="4"/>
  <c r="AS48" i="4" s="1"/>
  <c r="AQ36" i="4"/>
  <c r="AQ68" i="4" s="1"/>
  <c r="AQ34" i="4"/>
  <c r="AQ66" i="4" s="1"/>
  <c r="AQ33" i="4"/>
  <c r="AQ65" i="4" s="1"/>
  <c r="AQ31" i="4"/>
  <c r="AQ63" i="4" s="1"/>
  <c r="AQ35" i="4"/>
  <c r="AQ67" i="4" s="1"/>
  <c r="AQ32" i="4"/>
  <c r="AQ64" i="4" s="1"/>
  <c r="AQ30" i="4"/>
  <c r="AQ62" i="4" s="1"/>
  <c r="AQ28" i="4"/>
  <c r="AQ60" i="4" s="1"/>
  <c r="AQ37" i="4"/>
  <c r="AQ69" i="4" s="1"/>
  <c r="AQ27" i="4"/>
  <c r="AQ59" i="4" s="1"/>
  <c r="AQ25" i="4"/>
  <c r="AQ57" i="4" s="1"/>
  <c r="AQ23" i="4"/>
  <c r="AQ55" i="4" s="1"/>
  <c r="AQ21" i="4"/>
  <c r="AQ53" i="4" s="1"/>
  <c r="AQ19" i="4"/>
  <c r="AQ51" i="4" s="1"/>
  <c r="AQ26" i="4"/>
  <c r="AQ58" i="4" s="1"/>
  <c r="AQ24" i="4"/>
  <c r="AQ56" i="4" s="1"/>
  <c r="AQ22" i="4"/>
  <c r="AQ54" i="4" s="1"/>
  <c r="AQ20" i="4"/>
  <c r="AQ52" i="4" s="1"/>
  <c r="AQ18" i="4"/>
  <c r="AQ50" i="4" s="1"/>
  <c r="AQ12" i="4"/>
  <c r="AQ44" i="4" s="1"/>
  <c r="AQ16" i="4"/>
  <c r="AQ48" i="4" s="1"/>
  <c r="AQ14" i="4"/>
  <c r="AQ46" i="4" s="1"/>
  <c r="AQ11" i="4"/>
  <c r="AQ43" i="4" s="1"/>
  <c r="AQ17" i="4"/>
  <c r="AQ49" i="4" s="1"/>
  <c r="AQ15" i="4"/>
  <c r="AQ47" i="4" s="1"/>
  <c r="AQ29" i="4"/>
  <c r="AQ61" i="4" s="1"/>
  <c r="AQ10" i="4"/>
  <c r="AQ42" i="4" s="1"/>
  <c r="AQ13" i="4"/>
  <c r="AQ45" i="4" s="1"/>
  <c r="AJ36" i="4"/>
  <c r="AJ68" i="4" s="1"/>
  <c r="AJ34" i="4"/>
  <c r="AJ66" i="4" s="1"/>
  <c r="AJ37" i="4"/>
  <c r="AJ69" i="4" s="1"/>
  <c r="AJ35" i="4"/>
  <c r="AJ67" i="4" s="1"/>
  <c r="AJ32" i="4"/>
  <c r="AJ64" i="4" s="1"/>
  <c r="AJ33" i="4"/>
  <c r="AJ65" i="4" s="1"/>
  <c r="AJ31" i="4"/>
  <c r="AJ63" i="4" s="1"/>
  <c r="AJ30" i="4"/>
  <c r="AJ62" i="4" s="1"/>
  <c r="AJ29" i="4"/>
  <c r="AJ61" i="4" s="1"/>
  <c r="AJ26" i="4"/>
  <c r="AJ58" i="4" s="1"/>
  <c r="AJ24" i="4"/>
  <c r="AJ56" i="4" s="1"/>
  <c r="AJ22" i="4"/>
  <c r="AJ54" i="4" s="1"/>
  <c r="AJ27" i="4"/>
  <c r="AJ59" i="4" s="1"/>
  <c r="AJ23" i="4"/>
  <c r="AJ55" i="4" s="1"/>
  <c r="AJ16" i="4"/>
  <c r="AJ48" i="4" s="1"/>
  <c r="AJ14" i="4"/>
  <c r="AJ46" i="4" s="1"/>
  <c r="AJ11" i="4"/>
  <c r="AJ43" i="4" s="1"/>
  <c r="AJ25" i="4"/>
  <c r="AJ57" i="4" s="1"/>
  <c r="AJ21" i="4"/>
  <c r="AJ53" i="4" s="1"/>
  <c r="AJ20" i="4"/>
  <c r="AJ52" i="4" s="1"/>
  <c r="AJ19" i="4"/>
  <c r="AJ51" i="4" s="1"/>
  <c r="AJ18" i="4"/>
  <c r="AJ50" i="4" s="1"/>
  <c r="AJ17" i="4"/>
  <c r="AJ49" i="4" s="1"/>
  <c r="AJ15" i="4"/>
  <c r="AJ47" i="4" s="1"/>
  <c r="AJ13" i="4"/>
  <c r="AJ45" i="4" s="1"/>
  <c r="AJ12" i="4"/>
  <c r="AJ44" i="4" s="1"/>
  <c r="AJ10" i="4"/>
  <c r="AJ42" i="4" s="1"/>
  <c r="AO37" i="4"/>
  <c r="AO69" i="4" s="1"/>
  <c r="AO35" i="4"/>
  <c r="AO67" i="4" s="1"/>
  <c r="AO36" i="4"/>
  <c r="AO68" i="4" s="1"/>
  <c r="AO32" i="4"/>
  <c r="AO64" i="4" s="1"/>
  <c r="AO30" i="4"/>
  <c r="AO62" i="4" s="1"/>
  <c r="AO34" i="4"/>
  <c r="AO66" i="4" s="1"/>
  <c r="AO33" i="4"/>
  <c r="AO65" i="4" s="1"/>
  <c r="AO31" i="4"/>
  <c r="AO63" i="4" s="1"/>
  <c r="AO29" i="4"/>
  <c r="AO61" i="4" s="1"/>
  <c r="AO26" i="4"/>
  <c r="AO58" i="4" s="1"/>
  <c r="AO24" i="4"/>
  <c r="AO56" i="4" s="1"/>
  <c r="AO22" i="4"/>
  <c r="AO54" i="4" s="1"/>
  <c r="AO20" i="4"/>
  <c r="AO52" i="4" s="1"/>
  <c r="AO18" i="4"/>
  <c r="AO50" i="4" s="1"/>
  <c r="AO27" i="4"/>
  <c r="AO59" i="4" s="1"/>
  <c r="AO25" i="4"/>
  <c r="AO57" i="4" s="1"/>
  <c r="AO23" i="4"/>
  <c r="AO55" i="4" s="1"/>
  <c r="AO21" i="4"/>
  <c r="AO53" i="4" s="1"/>
  <c r="AO19" i="4"/>
  <c r="AO51" i="4" s="1"/>
  <c r="AO10" i="4"/>
  <c r="AO42" i="4" s="1"/>
  <c r="AO17" i="4"/>
  <c r="AO49" i="4" s="1"/>
  <c r="AO15" i="4"/>
  <c r="AO47" i="4" s="1"/>
  <c r="AO13" i="4"/>
  <c r="AO45" i="4" s="1"/>
  <c r="AO12" i="4"/>
  <c r="AO44" i="4" s="1"/>
  <c r="AO16" i="4"/>
  <c r="AO48" i="4" s="1"/>
  <c r="AO11" i="4"/>
  <c r="AO43" i="4" s="1"/>
  <c r="AO14" i="4"/>
  <c r="AO46" i="4" s="1"/>
  <c r="AK37" i="4"/>
  <c r="AK69" i="4" s="1"/>
  <c r="AK35" i="4"/>
  <c r="AK67" i="4" s="1"/>
  <c r="AK32" i="4"/>
  <c r="AK64" i="4" s="1"/>
  <c r="AK30" i="4"/>
  <c r="AK62" i="4" s="1"/>
  <c r="AK36" i="4"/>
  <c r="AK68" i="4" s="1"/>
  <c r="AK33" i="4"/>
  <c r="AK65" i="4" s="1"/>
  <c r="AK31" i="4"/>
  <c r="AK63" i="4" s="1"/>
  <c r="AK34" i="4"/>
  <c r="AK66" i="4" s="1"/>
  <c r="AK29" i="4"/>
  <c r="AK61" i="4" s="1"/>
  <c r="AK26" i="4"/>
  <c r="AK58" i="4" s="1"/>
  <c r="AK24" i="4"/>
  <c r="AK56" i="4" s="1"/>
  <c r="AK22" i="4"/>
  <c r="AK54" i="4" s="1"/>
  <c r="AK20" i="4"/>
  <c r="AK52" i="4" s="1"/>
  <c r="AK18" i="4"/>
  <c r="AK50" i="4" s="1"/>
  <c r="AK27" i="4"/>
  <c r="AK59" i="4" s="1"/>
  <c r="AK25" i="4"/>
  <c r="AK57" i="4" s="1"/>
  <c r="AK23" i="4"/>
  <c r="AK55" i="4" s="1"/>
  <c r="AK21" i="4"/>
  <c r="AK53" i="4" s="1"/>
  <c r="AK19" i="4"/>
  <c r="AK51" i="4" s="1"/>
  <c r="AK10" i="4"/>
  <c r="AK42" i="4" s="1"/>
  <c r="AK17" i="4"/>
  <c r="AK49" i="4" s="1"/>
  <c r="AK15" i="4"/>
  <c r="AK47" i="4" s="1"/>
  <c r="AK13" i="4"/>
  <c r="AK45" i="4" s="1"/>
  <c r="AK12" i="4"/>
  <c r="AK44" i="4" s="1"/>
  <c r="AK14" i="4"/>
  <c r="AK46" i="4" s="1"/>
  <c r="AK16" i="4"/>
  <c r="AK48" i="4" s="1"/>
  <c r="AK11" i="4"/>
  <c r="AK43" i="4" s="1"/>
  <c r="AL37" i="4"/>
  <c r="AL69" i="4" s="1"/>
  <c r="AL35" i="4"/>
  <c r="AL67" i="4" s="1"/>
  <c r="AL36" i="4"/>
  <c r="AL68" i="4" s="1"/>
  <c r="AL34" i="4"/>
  <c r="AL66" i="4" s="1"/>
  <c r="AL33" i="4"/>
  <c r="AL65" i="4" s="1"/>
  <c r="AL29" i="4"/>
  <c r="AL61" i="4" s="1"/>
  <c r="AL31" i="4"/>
  <c r="AL63" i="4" s="1"/>
  <c r="AL30" i="4"/>
  <c r="AL62" i="4" s="1"/>
  <c r="AL27" i="4"/>
  <c r="AL59" i="4" s="1"/>
  <c r="AL25" i="4"/>
  <c r="AL57" i="4" s="1"/>
  <c r="AL23" i="4"/>
  <c r="AL55" i="4" s="1"/>
  <c r="AL32" i="4"/>
  <c r="AL64" i="4" s="1"/>
  <c r="AL17" i="4"/>
  <c r="AL49" i="4" s="1"/>
  <c r="AL15" i="4"/>
  <c r="AL47" i="4" s="1"/>
  <c r="AL13" i="4"/>
  <c r="AL45" i="4" s="1"/>
  <c r="AL26" i="4"/>
  <c r="AL58" i="4" s="1"/>
  <c r="AL22" i="4"/>
  <c r="AL54" i="4" s="1"/>
  <c r="AL21" i="4"/>
  <c r="AL53" i="4" s="1"/>
  <c r="AL20" i="4"/>
  <c r="AL52" i="4" s="1"/>
  <c r="AL19" i="4"/>
  <c r="AL51" i="4" s="1"/>
  <c r="AL18" i="4"/>
  <c r="AL50" i="4" s="1"/>
  <c r="AL12" i="4"/>
  <c r="AL44" i="4" s="1"/>
  <c r="AL16" i="4"/>
  <c r="AL48" i="4" s="1"/>
  <c r="AL14" i="4"/>
  <c r="AL46" i="4" s="1"/>
  <c r="AL24" i="4"/>
  <c r="AL56" i="4" s="1"/>
  <c r="AL11" i="4"/>
  <c r="AL43" i="4" s="1"/>
  <c r="AL10" i="4"/>
  <c r="AL42" i="4" s="1"/>
  <c r="AU36" i="4"/>
  <c r="AU68" i="4" s="1"/>
  <c r="AU34" i="4"/>
  <c r="AU66" i="4" s="1"/>
  <c r="AU35" i="4"/>
  <c r="AU67" i="4" s="1"/>
  <c r="AU33" i="4"/>
  <c r="AU65" i="4" s="1"/>
  <c r="AU31" i="4"/>
  <c r="AU63" i="4" s="1"/>
  <c r="AU37" i="4"/>
  <c r="AU69" i="4" s="1"/>
  <c r="AU32" i="4"/>
  <c r="AU64" i="4" s="1"/>
  <c r="AU30" i="4"/>
  <c r="AU62" i="4" s="1"/>
  <c r="AU28" i="4"/>
  <c r="AU60" i="4" s="1"/>
  <c r="AU27" i="4"/>
  <c r="AU59" i="4" s="1"/>
  <c r="AU25" i="4"/>
  <c r="AU57" i="4" s="1"/>
  <c r="AU23" i="4"/>
  <c r="AU55" i="4" s="1"/>
  <c r="AU21" i="4"/>
  <c r="AU53" i="4" s="1"/>
  <c r="AU19" i="4"/>
  <c r="AU51" i="4" s="1"/>
  <c r="AU29" i="4"/>
  <c r="AU61" i="4" s="1"/>
  <c r="AU26" i="4"/>
  <c r="AU58" i="4" s="1"/>
  <c r="AU24" i="4"/>
  <c r="AU56" i="4" s="1"/>
  <c r="AU22" i="4"/>
  <c r="AU54" i="4" s="1"/>
  <c r="AU20" i="4"/>
  <c r="AU52" i="4" s="1"/>
  <c r="AU18" i="4"/>
  <c r="AU50" i="4" s="1"/>
  <c r="AU12" i="4"/>
  <c r="AU44" i="4" s="1"/>
  <c r="AU16" i="4"/>
  <c r="AU48" i="4" s="1"/>
  <c r="AU14" i="4"/>
  <c r="AU46" i="4" s="1"/>
  <c r="AU11" i="4"/>
  <c r="AU43" i="4" s="1"/>
  <c r="AU15" i="4"/>
  <c r="AU47" i="4" s="1"/>
  <c r="AU10" i="4"/>
  <c r="AU42" i="4" s="1"/>
  <c r="AU17" i="4"/>
  <c r="AU49" i="4" s="1"/>
  <c r="AU13" i="4"/>
  <c r="AU45" i="4" s="1"/>
  <c r="AP37" i="4"/>
  <c r="AP69" i="4" s="1"/>
  <c r="AP35" i="4"/>
  <c r="AP67" i="4" s="1"/>
  <c r="AP36" i="4"/>
  <c r="AP68" i="4" s="1"/>
  <c r="AP34" i="4"/>
  <c r="AP66" i="4" s="1"/>
  <c r="AP33" i="4"/>
  <c r="AP65" i="4" s="1"/>
  <c r="AP29" i="4"/>
  <c r="AP61" i="4" s="1"/>
  <c r="AP32" i="4"/>
  <c r="AP64" i="4" s="1"/>
  <c r="AP31" i="4"/>
  <c r="AP63" i="4" s="1"/>
  <c r="AP30" i="4"/>
  <c r="AP62" i="4" s="1"/>
  <c r="AP27" i="4"/>
  <c r="AP59" i="4" s="1"/>
  <c r="AP25" i="4"/>
  <c r="AP57" i="4" s="1"/>
  <c r="AP23" i="4"/>
  <c r="AP55" i="4" s="1"/>
  <c r="AP26" i="4"/>
  <c r="AP58" i="4" s="1"/>
  <c r="AP22" i="4"/>
  <c r="AP54" i="4" s="1"/>
  <c r="AP17" i="4"/>
  <c r="AP49" i="4" s="1"/>
  <c r="AP15" i="4"/>
  <c r="AP47" i="4" s="1"/>
  <c r="AP13" i="4"/>
  <c r="AP45" i="4" s="1"/>
  <c r="AP12" i="4"/>
  <c r="AP44" i="4" s="1"/>
  <c r="AP24" i="4"/>
  <c r="AP56" i="4" s="1"/>
  <c r="AP16" i="4"/>
  <c r="AP48" i="4" s="1"/>
  <c r="AP14" i="4"/>
  <c r="AP46" i="4" s="1"/>
  <c r="AP11" i="4"/>
  <c r="AP43" i="4" s="1"/>
  <c r="AP21" i="4"/>
  <c r="AP53" i="4" s="1"/>
  <c r="AP10" i="4"/>
  <c r="AP42" i="4" s="1"/>
  <c r="AP19" i="4"/>
  <c r="AP51" i="4" s="1"/>
  <c r="AP18" i="4"/>
  <c r="AP50" i="4" s="1"/>
  <c r="AP20" i="4"/>
  <c r="AP52" i="4" s="1"/>
  <c r="E161" i="4" l="1"/>
  <c r="E180" i="4"/>
  <c r="F167" i="4"/>
  <c r="E167" i="4" s="1"/>
  <c r="E166" i="4"/>
  <c r="F179" i="4"/>
  <c r="E179" i="4" s="1"/>
  <c r="E178" i="4"/>
  <c r="F173" i="4"/>
  <c r="E173" i="4" s="1"/>
  <c r="E172" i="4"/>
  <c r="E175" i="4"/>
  <c r="K92" i="4"/>
  <c r="K100" i="4"/>
  <c r="H92" i="4"/>
  <c r="H100" i="4"/>
  <c r="F92" i="4"/>
  <c r="F100" i="4"/>
  <c r="L92" i="4"/>
  <c r="L100" i="4"/>
  <c r="O92" i="4"/>
  <c r="O100" i="4"/>
  <c r="G92" i="4"/>
  <c r="G100" i="4"/>
  <c r="J92" i="4"/>
  <c r="J100" i="4"/>
  <c r="P92" i="4"/>
  <c r="P100" i="4"/>
  <c r="Q92" i="4"/>
  <c r="Q100" i="4"/>
  <c r="M75" i="4"/>
  <c r="M90" i="4" s="1"/>
  <c r="O81" i="4"/>
  <c r="N75" i="4"/>
  <c r="I75" i="4"/>
  <c r="I90" i="4" s="1"/>
  <c r="AS70" i="4"/>
  <c r="O85" i="4" s="1"/>
  <c r="AT70" i="4"/>
  <c r="P85" i="4" s="1"/>
  <c r="AQ70" i="4"/>
  <c r="M85" i="4" s="1"/>
  <c r="AR70" i="4"/>
  <c r="N85" i="4" s="1"/>
  <c r="AU70" i="4"/>
  <c r="Q85" i="4" s="1"/>
  <c r="P81" i="4"/>
  <c r="E91" i="4"/>
  <c r="Q81" i="4"/>
  <c r="M81" i="4"/>
  <c r="AR38" i="4"/>
  <c r="AU38" i="4"/>
  <c r="AQ38" i="4"/>
  <c r="AS38" i="4"/>
  <c r="AT38" i="4"/>
  <c r="M92" i="4" l="1"/>
  <c r="M100" i="4"/>
  <c r="I92" i="4"/>
  <c r="I100" i="4"/>
  <c r="N81" i="4"/>
  <c r="N82" i="4" s="1"/>
  <c r="N90" i="4"/>
  <c r="E90" i="4" s="1"/>
  <c r="E92" i="4" s="1"/>
  <c r="O82" i="4"/>
  <c r="P82" i="4"/>
  <c r="Q82" i="4"/>
  <c r="M82" i="4"/>
  <c r="N92" i="4" l="1"/>
  <c r="N100" i="4"/>
  <c r="E100" i="4" s="1"/>
  <c r="O5" i="5"/>
  <c r="P5" i="5"/>
  <c r="AA10" i="4" l="1"/>
  <c r="AA9" i="4"/>
  <c r="V41" i="1" l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14" i="1" l="1"/>
  <c r="O114" i="1"/>
  <c r="P114" i="1" s="1"/>
  <c r="C7" i="1" l="1"/>
  <c r="O77" i="1" l="1"/>
  <c r="P77" i="1" s="1"/>
  <c r="O91" i="1"/>
  <c r="P91" i="1" s="1"/>
  <c r="E123" i="5" l="1"/>
  <c r="F124" i="5"/>
  <c r="G124" i="5"/>
  <c r="H124" i="5"/>
  <c r="I124" i="5"/>
  <c r="J124" i="5"/>
  <c r="K124" i="5"/>
  <c r="L124" i="5"/>
  <c r="M124" i="5"/>
  <c r="N124" i="5"/>
  <c r="O124" i="5"/>
  <c r="P124" i="5"/>
  <c r="F123" i="5"/>
  <c r="G123" i="5"/>
  <c r="G125" i="5" s="1"/>
  <c r="H123" i="5"/>
  <c r="I123" i="5"/>
  <c r="J123" i="5"/>
  <c r="K123" i="5"/>
  <c r="K125" i="5" s="1"/>
  <c r="L123" i="5"/>
  <c r="M123" i="5"/>
  <c r="N123" i="5"/>
  <c r="O123" i="5"/>
  <c r="P123" i="5"/>
  <c r="E124" i="5"/>
  <c r="O125" i="5" l="1"/>
  <c r="P125" i="5"/>
  <c r="H125" i="5"/>
  <c r="I125" i="5"/>
  <c r="E125" i="5"/>
  <c r="N125" i="5"/>
  <c r="J125" i="5"/>
  <c r="F125" i="5"/>
  <c r="M125" i="5"/>
  <c r="L125" i="5"/>
  <c r="F101" i="5"/>
  <c r="F116" i="5" s="1"/>
  <c r="G101" i="5"/>
  <c r="G116" i="5" s="1"/>
  <c r="H101" i="5"/>
  <c r="I101" i="5"/>
  <c r="J101" i="5"/>
  <c r="K101" i="5"/>
  <c r="L101" i="5"/>
  <c r="M101" i="5"/>
  <c r="N101" i="5"/>
  <c r="O101" i="5"/>
  <c r="P101" i="5"/>
  <c r="E101" i="5"/>
  <c r="E116" i="5" s="1"/>
  <c r="K135" i="5"/>
  <c r="M135" i="5"/>
  <c r="G37" i="5" l="1"/>
  <c r="G130" i="5" s="1"/>
  <c r="AL72" i="4" s="1"/>
  <c r="H93" i="4" s="1"/>
  <c r="G135" i="5"/>
  <c r="N37" i="5"/>
  <c r="N130" i="5" s="1"/>
  <c r="AS72" i="4" s="1"/>
  <c r="O93" i="4" s="1"/>
  <c r="N135" i="5"/>
  <c r="J37" i="5"/>
  <c r="J130" i="5" s="1"/>
  <c r="AO72" i="4" s="1"/>
  <c r="K93" i="4" s="1"/>
  <c r="J135" i="5"/>
  <c r="F37" i="5"/>
  <c r="F130" i="5" s="1"/>
  <c r="AK72" i="4" s="1"/>
  <c r="G93" i="4" s="1"/>
  <c r="F135" i="5"/>
  <c r="P37" i="5"/>
  <c r="P130" i="5" s="1"/>
  <c r="AU72" i="4" s="1"/>
  <c r="Q93" i="4" s="1"/>
  <c r="P135" i="5"/>
  <c r="L37" i="5"/>
  <c r="L130" i="5" s="1"/>
  <c r="AQ72" i="4" s="1"/>
  <c r="M93" i="4" s="1"/>
  <c r="L135" i="5"/>
  <c r="H37" i="5"/>
  <c r="H130" i="5" s="1"/>
  <c r="AM72" i="4" s="1"/>
  <c r="I93" i="4" s="1"/>
  <c r="H135" i="5"/>
  <c r="E37" i="5"/>
  <c r="E130" i="5" s="1"/>
  <c r="AJ72" i="4" s="1"/>
  <c r="F93" i="4" s="1"/>
  <c r="E135" i="5"/>
  <c r="I37" i="5"/>
  <c r="I130" i="5" s="1"/>
  <c r="AN72" i="4" s="1"/>
  <c r="J93" i="4" s="1"/>
  <c r="I135" i="5"/>
  <c r="O37" i="5"/>
  <c r="O130" i="5" s="1"/>
  <c r="AT72" i="4" s="1"/>
  <c r="P93" i="4" s="1"/>
  <c r="O135" i="5"/>
  <c r="K37" i="5"/>
  <c r="K130" i="5" s="1"/>
  <c r="AP72" i="4" s="1"/>
  <c r="L93" i="4" s="1"/>
  <c r="P132" i="5"/>
  <c r="P102" i="5"/>
  <c r="P129" i="5" s="1"/>
  <c r="AU71" i="4" s="1"/>
  <c r="Q87" i="4" s="1"/>
  <c r="H132" i="5"/>
  <c r="H102" i="5"/>
  <c r="H129" i="5" s="1"/>
  <c r="AM71" i="4" s="1"/>
  <c r="I87" i="4" s="1"/>
  <c r="O132" i="5"/>
  <c r="O102" i="5"/>
  <c r="O129" i="5" s="1"/>
  <c r="AT71" i="4" s="1"/>
  <c r="P87" i="4" s="1"/>
  <c r="G132" i="5"/>
  <c r="G102" i="5"/>
  <c r="G129" i="5" s="1"/>
  <c r="AL71" i="4" s="1"/>
  <c r="H87" i="4" s="1"/>
  <c r="M37" i="5"/>
  <c r="M130" i="5" s="1"/>
  <c r="AR72" i="4" s="1"/>
  <c r="N93" i="4" s="1"/>
  <c r="J132" i="5"/>
  <c r="J102" i="5"/>
  <c r="J129" i="5" s="1"/>
  <c r="AO71" i="4" s="1"/>
  <c r="K87" i="4" s="1"/>
  <c r="F132" i="5"/>
  <c r="F102" i="5"/>
  <c r="F129" i="5" s="1"/>
  <c r="AK71" i="4" s="1"/>
  <c r="G87" i="4" s="1"/>
  <c r="E132" i="5"/>
  <c r="E102" i="5"/>
  <c r="E129" i="5" s="1"/>
  <c r="AJ71" i="4" s="1"/>
  <c r="F87" i="4" s="1"/>
  <c r="I132" i="5"/>
  <c r="I102" i="5"/>
  <c r="I129" i="5" s="1"/>
  <c r="AN71" i="4" s="1"/>
  <c r="J87" i="4" s="1"/>
  <c r="N132" i="5"/>
  <c r="N102" i="5"/>
  <c r="N129" i="5" s="1"/>
  <c r="AS71" i="4" s="1"/>
  <c r="O87" i="4" s="1"/>
  <c r="M132" i="5"/>
  <c r="M102" i="5"/>
  <c r="M129" i="5" s="1"/>
  <c r="AR71" i="4" s="1"/>
  <c r="N87" i="4" s="1"/>
  <c r="L132" i="5"/>
  <c r="L102" i="5"/>
  <c r="L129" i="5" s="1"/>
  <c r="AQ71" i="4" s="1"/>
  <c r="M87" i="4" s="1"/>
  <c r="K132" i="5"/>
  <c r="K102" i="5"/>
  <c r="K129" i="5" s="1"/>
  <c r="AP71" i="4" s="1"/>
  <c r="L87" i="4" s="1"/>
  <c r="D98" i="5"/>
  <c r="D94" i="5"/>
  <c r="D90" i="5"/>
  <c r="D86" i="5"/>
  <c r="D82" i="5"/>
  <c r="D78" i="5"/>
  <c r="D74" i="5"/>
  <c r="D70" i="5"/>
  <c r="D66" i="5"/>
  <c r="D62" i="5"/>
  <c r="D58" i="5"/>
  <c r="D54" i="5"/>
  <c r="D50" i="5"/>
  <c r="D46" i="5"/>
  <c r="D42" i="5"/>
  <c r="F101" i="4" l="1"/>
  <c r="G101" i="4"/>
  <c r="F89" i="4"/>
  <c r="F99" i="4"/>
  <c r="H89" i="4"/>
  <c r="H99" i="4"/>
  <c r="O95" i="4"/>
  <c r="O101" i="4"/>
  <c r="M89" i="4"/>
  <c r="M99" i="4"/>
  <c r="K89" i="4"/>
  <c r="K99" i="4"/>
  <c r="I89" i="4"/>
  <c r="I99" i="4"/>
  <c r="L95" i="4"/>
  <c r="L101" i="4"/>
  <c r="J95" i="4"/>
  <c r="J101" i="4"/>
  <c r="I95" i="4"/>
  <c r="I101" i="4"/>
  <c r="Q95" i="4"/>
  <c r="Q101" i="4"/>
  <c r="K95" i="4"/>
  <c r="K101" i="4"/>
  <c r="N95" i="4"/>
  <c r="N101" i="4"/>
  <c r="P95" i="4"/>
  <c r="P101" i="4"/>
  <c r="M95" i="4"/>
  <c r="M101" i="4"/>
  <c r="O89" i="4"/>
  <c r="O99" i="4"/>
  <c r="L89" i="4"/>
  <c r="L99" i="4"/>
  <c r="N89" i="4"/>
  <c r="N99" i="4"/>
  <c r="J89" i="4"/>
  <c r="J99" i="4"/>
  <c r="G89" i="4"/>
  <c r="G99" i="4"/>
  <c r="P89" i="4"/>
  <c r="P99" i="4"/>
  <c r="Q89" i="4"/>
  <c r="Q99" i="4"/>
  <c r="H95" i="4"/>
  <c r="H101" i="4"/>
  <c r="E87" i="4"/>
  <c r="E89" i="4" s="1"/>
  <c r="E93" i="4"/>
  <c r="AR73" i="4"/>
  <c r="AT73" i="4"/>
  <c r="AQ73" i="4"/>
  <c r="AK73" i="4"/>
  <c r="AS73" i="4"/>
  <c r="AP73" i="4"/>
  <c r="AN73" i="4"/>
  <c r="AM73" i="4"/>
  <c r="AO73" i="4"/>
  <c r="AL73" i="4"/>
  <c r="AJ73" i="4"/>
  <c r="E131" i="5"/>
  <c r="AU73" i="4"/>
  <c r="K138" i="5"/>
  <c r="M138" i="5"/>
  <c r="P138" i="5"/>
  <c r="O138" i="5"/>
  <c r="G131" i="5"/>
  <c r="I138" i="5"/>
  <c r="G138" i="5"/>
  <c r="N138" i="5"/>
  <c r="E138" i="5"/>
  <c r="H138" i="5"/>
  <c r="J138" i="5"/>
  <c r="F131" i="5"/>
  <c r="L138" i="5"/>
  <c r="F138" i="5"/>
  <c r="K131" i="5"/>
  <c r="I131" i="5"/>
  <c r="O131" i="5"/>
  <c r="P131" i="5"/>
  <c r="J131" i="5"/>
  <c r="H131" i="5"/>
  <c r="N131" i="5"/>
  <c r="M131" i="5"/>
  <c r="L131" i="5"/>
  <c r="E99" i="4" l="1"/>
  <c r="E101" i="4"/>
  <c r="O109" i="1" l="1"/>
  <c r="P109" i="1" s="1"/>
  <c r="O110" i="1"/>
  <c r="P110" i="1" s="1"/>
  <c r="O108" i="1"/>
  <c r="P108" i="1" s="1"/>
  <c r="E115" i="5" l="1"/>
  <c r="E117" i="5"/>
  <c r="F117" i="5"/>
  <c r="E122" i="5" l="1"/>
  <c r="F115" i="5" s="1"/>
  <c r="O7" i="5"/>
  <c r="P7" i="5"/>
  <c r="F122" i="5" l="1"/>
  <c r="G115" i="5" s="1"/>
  <c r="G122" i="5" s="1"/>
  <c r="H115" i="5" s="1"/>
  <c r="H122" i="5" s="1"/>
  <c r="I115" i="5" s="1"/>
  <c r="I122" i="5" s="1"/>
  <c r="J115" i="5" s="1"/>
  <c r="J122" i="5" s="1"/>
  <c r="O90" i="1"/>
  <c r="P90" i="1" s="1"/>
  <c r="O1" i="3" l="1"/>
  <c r="O87" i="1" l="1"/>
  <c r="P87" i="1" s="1"/>
  <c r="O54" i="1"/>
  <c r="P54" i="1" s="1"/>
  <c r="O53" i="1"/>
  <c r="P53" i="1" s="1"/>
  <c r="O56" i="1"/>
  <c r="P56" i="1" s="1"/>
  <c r="O55" i="1"/>
  <c r="P55" i="1" s="1"/>
  <c r="O46" i="1"/>
  <c r="P46" i="1" s="1"/>
  <c r="O133" i="1" l="1"/>
  <c r="P133" i="1" s="1"/>
  <c r="O132" i="1"/>
  <c r="P132" i="1" s="1"/>
  <c r="O150" i="1"/>
  <c r="P150" i="1" s="1"/>
  <c r="O149" i="1"/>
  <c r="P149" i="1" s="1"/>
  <c r="O148" i="1"/>
  <c r="P148" i="1" s="1"/>
  <c r="O147" i="1"/>
  <c r="P147" i="1" s="1"/>
  <c r="K7" i="1"/>
  <c r="P165" i="5" l="1"/>
  <c r="O165" i="5"/>
  <c r="N165" i="5"/>
  <c r="M165" i="5"/>
  <c r="L165" i="5"/>
  <c r="K165" i="5"/>
  <c r="J165" i="5"/>
  <c r="I165" i="5"/>
  <c r="H165" i="5"/>
  <c r="G165" i="5"/>
  <c r="F165" i="5"/>
  <c r="E165" i="5"/>
  <c r="D165" i="5"/>
  <c r="P164" i="5"/>
  <c r="O164" i="5"/>
  <c r="N164" i="5"/>
  <c r="M164" i="5"/>
  <c r="L164" i="5"/>
  <c r="K164" i="5"/>
  <c r="J164" i="5"/>
  <c r="I164" i="5"/>
  <c r="H164" i="5"/>
  <c r="G164" i="5"/>
  <c r="F164" i="5"/>
  <c r="E164" i="5"/>
  <c r="D164" i="5"/>
  <c r="P163" i="5"/>
  <c r="O163" i="5"/>
  <c r="N163" i="5"/>
  <c r="M163" i="5"/>
  <c r="L163" i="5"/>
  <c r="K163" i="5"/>
  <c r="J163" i="5"/>
  <c r="I163" i="5"/>
  <c r="H163" i="5"/>
  <c r="G163" i="5"/>
  <c r="F163" i="5"/>
  <c r="E163" i="5"/>
  <c r="D163" i="5"/>
  <c r="P162" i="5"/>
  <c r="O162" i="5"/>
  <c r="N162" i="5"/>
  <c r="M162" i="5"/>
  <c r="L162" i="5"/>
  <c r="K162" i="5"/>
  <c r="J162" i="5"/>
  <c r="I162" i="5"/>
  <c r="H162" i="5"/>
  <c r="G162" i="5"/>
  <c r="F162" i="5"/>
  <c r="E162" i="5"/>
  <c r="D162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D161" i="5"/>
  <c r="P160" i="5"/>
  <c r="O160" i="5"/>
  <c r="N160" i="5"/>
  <c r="M160" i="5"/>
  <c r="L160" i="5"/>
  <c r="K160" i="5"/>
  <c r="J160" i="5"/>
  <c r="I160" i="5"/>
  <c r="H160" i="5"/>
  <c r="G160" i="5"/>
  <c r="F160" i="5"/>
  <c r="E160" i="5"/>
  <c r="D160" i="5"/>
  <c r="P159" i="5"/>
  <c r="O159" i="5"/>
  <c r="N159" i="5"/>
  <c r="M159" i="5"/>
  <c r="L159" i="5"/>
  <c r="K159" i="5"/>
  <c r="J159" i="5"/>
  <c r="I159" i="5"/>
  <c r="H159" i="5"/>
  <c r="G159" i="5"/>
  <c r="F159" i="5"/>
  <c r="E159" i="5"/>
  <c r="D159" i="5"/>
  <c r="P158" i="5"/>
  <c r="O158" i="5"/>
  <c r="N158" i="5"/>
  <c r="M158" i="5"/>
  <c r="L158" i="5"/>
  <c r="K158" i="5"/>
  <c r="J158" i="5"/>
  <c r="I158" i="5"/>
  <c r="H158" i="5"/>
  <c r="G158" i="5"/>
  <c r="F158" i="5"/>
  <c r="E158" i="5"/>
  <c r="D158" i="5"/>
  <c r="P157" i="5"/>
  <c r="O157" i="5"/>
  <c r="N157" i="5"/>
  <c r="M157" i="5"/>
  <c r="L157" i="5"/>
  <c r="K157" i="5"/>
  <c r="J157" i="5"/>
  <c r="I157" i="5"/>
  <c r="H157" i="5"/>
  <c r="G157" i="5"/>
  <c r="F157" i="5"/>
  <c r="E157" i="5"/>
  <c r="D157" i="5"/>
  <c r="P156" i="5"/>
  <c r="O156" i="5"/>
  <c r="N156" i="5"/>
  <c r="M156" i="5"/>
  <c r="L156" i="5"/>
  <c r="K156" i="5"/>
  <c r="J156" i="5"/>
  <c r="I156" i="5"/>
  <c r="H156" i="5"/>
  <c r="G156" i="5"/>
  <c r="F156" i="5"/>
  <c r="E156" i="5"/>
  <c r="D156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D155" i="5"/>
  <c r="P154" i="5"/>
  <c r="O154" i="5"/>
  <c r="N154" i="5"/>
  <c r="M154" i="5"/>
  <c r="L154" i="5"/>
  <c r="K154" i="5"/>
  <c r="J154" i="5"/>
  <c r="I154" i="5"/>
  <c r="H154" i="5"/>
  <c r="G154" i="5"/>
  <c r="F154" i="5"/>
  <c r="E154" i="5"/>
  <c r="D154" i="5"/>
  <c r="P153" i="5"/>
  <c r="O153" i="5"/>
  <c r="N153" i="5"/>
  <c r="M153" i="5"/>
  <c r="L153" i="5"/>
  <c r="K153" i="5"/>
  <c r="J153" i="5"/>
  <c r="I153" i="5"/>
  <c r="H153" i="5"/>
  <c r="G153" i="5"/>
  <c r="F153" i="5"/>
  <c r="E153" i="5"/>
  <c r="D153" i="5"/>
  <c r="P152" i="5"/>
  <c r="O152" i="5"/>
  <c r="N152" i="5"/>
  <c r="M152" i="5"/>
  <c r="L152" i="5"/>
  <c r="K152" i="5"/>
  <c r="J152" i="5"/>
  <c r="I152" i="5"/>
  <c r="H152" i="5"/>
  <c r="G152" i="5"/>
  <c r="F152" i="5"/>
  <c r="E152" i="5"/>
  <c r="D152" i="5"/>
  <c r="P151" i="5"/>
  <c r="O151" i="5"/>
  <c r="N151" i="5"/>
  <c r="M151" i="5"/>
  <c r="L151" i="5"/>
  <c r="K151" i="5"/>
  <c r="J151" i="5"/>
  <c r="I151" i="5"/>
  <c r="H151" i="5"/>
  <c r="G151" i="5"/>
  <c r="F151" i="5"/>
  <c r="E151" i="5"/>
  <c r="D151" i="5"/>
  <c r="P150" i="5"/>
  <c r="O150" i="5"/>
  <c r="N150" i="5"/>
  <c r="M150" i="5"/>
  <c r="L150" i="5"/>
  <c r="K150" i="5"/>
  <c r="J150" i="5"/>
  <c r="I150" i="5"/>
  <c r="H150" i="5"/>
  <c r="G150" i="5"/>
  <c r="F150" i="5"/>
  <c r="E150" i="5"/>
  <c r="D150" i="5"/>
  <c r="P149" i="5"/>
  <c r="O149" i="5"/>
  <c r="N149" i="5"/>
  <c r="M149" i="5"/>
  <c r="L149" i="5"/>
  <c r="K149" i="5"/>
  <c r="J149" i="5"/>
  <c r="I149" i="5"/>
  <c r="H149" i="5"/>
  <c r="G149" i="5"/>
  <c r="F149" i="5"/>
  <c r="E149" i="5"/>
  <c r="D149" i="5"/>
  <c r="P148" i="5"/>
  <c r="O148" i="5"/>
  <c r="N148" i="5"/>
  <c r="M148" i="5"/>
  <c r="L148" i="5"/>
  <c r="K148" i="5"/>
  <c r="J148" i="5"/>
  <c r="I148" i="5"/>
  <c r="H148" i="5"/>
  <c r="G148" i="5"/>
  <c r="F148" i="5"/>
  <c r="E148" i="5"/>
  <c r="D148" i="5"/>
  <c r="P147" i="5"/>
  <c r="O147" i="5"/>
  <c r="N147" i="5"/>
  <c r="M147" i="5"/>
  <c r="L147" i="5"/>
  <c r="K147" i="5"/>
  <c r="J147" i="5"/>
  <c r="I147" i="5"/>
  <c r="H147" i="5"/>
  <c r="G147" i="5"/>
  <c r="F147" i="5"/>
  <c r="E147" i="5"/>
  <c r="D147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D146" i="5"/>
  <c r="P145" i="5"/>
  <c r="O145" i="5"/>
  <c r="N145" i="5"/>
  <c r="M145" i="5"/>
  <c r="L145" i="5"/>
  <c r="K145" i="5"/>
  <c r="J145" i="5"/>
  <c r="I145" i="5"/>
  <c r="H145" i="5"/>
  <c r="G145" i="5"/>
  <c r="F145" i="5"/>
  <c r="E145" i="5"/>
  <c r="D145" i="5"/>
  <c r="P144" i="5"/>
  <c r="O144" i="5"/>
  <c r="N144" i="5"/>
  <c r="M144" i="5"/>
  <c r="L144" i="5"/>
  <c r="K144" i="5"/>
  <c r="J144" i="5"/>
  <c r="I144" i="5"/>
  <c r="H144" i="5"/>
  <c r="G144" i="5"/>
  <c r="F144" i="5"/>
  <c r="E144" i="5"/>
  <c r="D144" i="5"/>
  <c r="P143" i="5"/>
  <c r="O143" i="5"/>
  <c r="N143" i="5"/>
  <c r="M143" i="5"/>
  <c r="L143" i="5"/>
  <c r="K143" i="5"/>
  <c r="J143" i="5"/>
  <c r="I143" i="5"/>
  <c r="H143" i="5"/>
  <c r="G143" i="5"/>
  <c r="F143" i="5"/>
  <c r="E143" i="5"/>
  <c r="D143" i="5"/>
  <c r="P42" i="5"/>
  <c r="P44" i="5" s="1"/>
  <c r="O42" i="5"/>
  <c r="O44" i="5" s="1"/>
  <c r="N42" i="5"/>
  <c r="N44" i="5" s="1"/>
  <c r="M42" i="5"/>
  <c r="M44" i="5" s="1"/>
  <c r="L42" i="5"/>
  <c r="L44" i="5" s="1"/>
  <c r="K42" i="5"/>
  <c r="K44" i="5" s="1"/>
  <c r="J42" i="5"/>
  <c r="J44" i="5" s="1"/>
  <c r="I42" i="5"/>
  <c r="I44" i="5" s="1"/>
  <c r="H42" i="5"/>
  <c r="H44" i="5" s="1"/>
  <c r="G44" i="5"/>
  <c r="F42" i="5"/>
  <c r="F44" i="5" s="1"/>
  <c r="E42" i="5"/>
  <c r="E44" i="5" s="1"/>
  <c r="P33" i="5"/>
  <c r="O33" i="5"/>
  <c r="N33" i="5"/>
  <c r="M33" i="5"/>
  <c r="L33" i="5"/>
  <c r="K33" i="5"/>
  <c r="J33" i="5"/>
  <c r="I33" i="5"/>
  <c r="H33" i="5"/>
  <c r="G33" i="5"/>
  <c r="F33" i="5"/>
  <c r="E33" i="5"/>
  <c r="E35" i="5" s="1"/>
  <c r="N5" i="5"/>
  <c r="N7" i="5" s="1"/>
  <c r="M5" i="5"/>
  <c r="M7" i="5" s="1"/>
  <c r="L5" i="5"/>
  <c r="L7" i="5" s="1"/>
  <c r="K5" i="5"/>
  <c r="K7" i="5" s="1"/>
  <c r="J5" i="5"/>
  <c r="J7" i="5" s="1"/>
  <c r="I5" i="5"/>
  <c r="I7" i="5" s="1"/>
  <c r="H5" i="5"/>
  <c r="H7" i="5" s="1"/>
  <c r="G5" i="5"/>
  <c r="G7" i="5" s="1"/>
  <c r="F5" i="5"/>
  <c r="F7" i="5" s="1"/>
  <c r="E5" i="5"/>
  <c r="E7" i="5" s="1"/>
  <c r="P11" i="5"/>
  <c r="O11" i="5"/>
  <c r="N11" i="5"/>
  <c r="M11" i="5"/>
  <c r="L11" i="5"/>
  <c r="K11" i="5"/>
  <c r="G11" i="5"/>
  <c r="P9" i="5"/>
  <c r="O9" i="5"/>
  <c r="N9" i="5"/>
  <c r="M9" i="5"/>
  <c r="L9" i="5"/>
  <c r="K9" i="5"/>
  <c r="J9" i="5"/>
  <c r="J11" i="5" s="1"/>
  <c r="I9" i="5"/>
  <c r="I11" i="5" s="1"/>
  <c r="H9" i="5"/>
  <c r="H11" i="5" s="1"/>
  <c r="G9" i="5"/>
  <c r="F9" i="5"/>
  <c r="F11" i="5" s="1"/>
  <c r="E9" i="5"/>
  <c r="N15" i="5"/>
  <c r="M15" i="5"/>
  <c r="L15" i="5"/>
  <c r="K15" i="5"/>
  <c r="J15" i="5"/>
  <c r="H15" i="5"/>
  <c r="G15" i="5"/>
  <c r="P13" i="5"/>
  <c r="P15" i="5" s="1"/>
  <c r="O13" i="5"/>
  <c r="O15" i="5" s="1"/>
  <c r="N13" i="5"/>
  <c r="M13" i="5"/>
  <c r="L13" i="5"/>
  <c r="K13" i="5"/>
  <c r="J13" i="5"/>
  <c r="I13" i="5"/>
  <c r="I15" i="5" s="1"/>
  <c r="H13" i="5"/>
  <c r="G13" i="5"/>
  <c r="F13" i="5"/>
  <c r="F15" i="5" s="1"/>
  <c r="E13" i="5"/>
  <c r="E15" i="5" s="1"/>
  <c r="L23" i="5"/>
  <c r="K23" i="5"/>
  <c r="J23" i="5"/>
  <c r="I23" i="5"/>
  <c r="H23" i="5"/>
  <c r="G23" i="5"/>
  <c r="P21" i="5"/>
  <c r="P23" i="5" s="1"/>
  <c r="O21" i="5"/>
  <c r="O23" i="5" s="1"/>
  <c r="N21" i="5"/>
  <c r="N23" i="5" s="1"/>
  <c r="M21" i="5"/>
  <c r="M23" i="5" s="1"/>
  <c r="L21" i="5"/>
  <c r="K21" i="5"/>
  <c r="J21" i="5"/>
  <c r="I21" i="5"/>
  <c r="H21" i="5"/>
  <c r="G21" i="5"/>
  <c r="F21" i="5"/>
  <c r="E21" i="5"/>
  <c r="E23" i="5" s="1"/>
  <c r="P19" i="5"/>
  <c r="O19" i="5"/>
  <c r="N19" i="5"/>
  <c r="P17" i="5"/>
  <c r="O17" i="5"/>
  <c r="N17" i="5"/>
  <c r="M17" i="5"/>
  <c r="M19" i="5" s="1"/>
  <c r="L17" i="5"/>
  <c r="L19" i="5" s="1"/>
  <c r="K17" i="5"/>
  <c r="K19" i="5" s="1"/>
  <c r="J17" i="5"/>
  <c r="J19" i="5" s="1"/>
  <c r="I17" i="5"/>
  <c r="I19" i="5" s="1"/>
  <c r="H17" i="5"/>
  <c r="H19" i="5" s="1"/>
  <c r="G17" i="5"/>
  <c r="G19" i="5" s="1"/>
  <c r="F17" i="5"/>
  <c r="F19" i="5" s="1"/>
  <c r="E17" i="5"/>
  <c r="E19" i="5" s="1"/>
  <c r="O27" i="5"/>
  <c r="P25" i="5"/>
  <c r="P27" i="5" s="1"/>
  <c r="O25" i="5"/>
  <c r="N25" i="5"/>
  <c r="N27" i="5" s="1"/>
  <c r="M25" i="5"/>
  <c r="M27" i="5" s="1"/>
  <c r="L25" i="5"/>
  <c r="L27" i="5" s="1"/>
  <c r="K25" i="5"/>
  <c r="K27" i="5" s="1"/>
  <c r="J25" i="5"/>
  <c r="J27" i="5" s="1"/>
  <c r="I25" i="5"/>
  <c r="I27" i="5" s="1"/>
  <c r="H25" i="5"/>
  <c r="H27" i="5" s="1"/>
  <c r="G25" i="5"/>
  <c r="G27" i="5" s="1"/>
  <c r="F25" i="5"/>
  <c r="F27" i="5" s="1"/>
  <c r="E25" i="5"/>
  <c r="E27" i="5" s="1"/>
  <c r="P31" i="5"/>
  <c r="O31" i="5"/>
  <c r="P29" i="5"/>
  <c r="O29" i="5"/>
  <c r="N29" i="5"/>
  <c r="N31" i="5" s="1"/>
  <c r="M29" i="5"/>
  <c r="M31" i="5" s="1"/>
  <c r="L29" i="5"/>
  <c r="L31" i="5" s="1"/>
  <c r="K29" i="5"/>
  <c r="K31" i="5" s="1"/>
  <c r="J29" i="5"/>
  <c r="J31" i="5" s="1"/>
  <c r="I29" i="5"/>
  <c r="I31" i="5" s="1"/>
  <c r="H29" i="5"/>
  <c r="H31" i="5" s="1"/>
  <c r="G29" i="5"/>
  <c r="G31" i="5" s="1"/>
  <c r="F29" i="5"/>
  <c r="F31" i="5" s="1"/>
  <c r="E29" i="5"/>
  <c r="E31" i="5" s="1"/>
  <c r="N6" i="4"/>
  <c r="A1" i="4"/>
  <c r="C15" i="3"/>
  <c r="N21" i="3"/>
  <c r="B7" i="3"/>
  <c r="P5" i="3"/>
  <c r="V151" i="1"/>
  <c r="V150" i="1"/>
  <c r="V149" i="1"/>
  <c r="V148" i="1"/>
  <c r="V147" i="1"/>
  <c r="V146" i="1"/>
  <c r="V145" i="1"/>
  <c r="V144" i="1"/>
  <c r="P146" i="1"/>
  <c r="O146" i="1"/>
  <c r="V143" i="1"/>
  <c r="O145" i="1"/>
  <c r="P145" i="1" s="1"/>
  <c r="V142" i="1"/>
  <c r="O144" i="1"/>
  <c r="P144" i="1" s="1"/>
  <c r="V141" i="1"/>
  <c r="O143" i="1"/>
  <c r="P143" i="1" s="1"/>
  <c r="V140" i="1"/>
  <c r="O142" i="1"/>
  <c r="P142" i="1" s="1"/>
  <c r="V139" i="1"/>
  <c r="O141" i="1"/>
  <c r="P141" i="1" s="1"/>
  <c r="V138" i="1"/>
  <c r="O140" i="1"/>
  <c r="P140" i="1" s="1"/>
  <c r="V137" i="1"/>
  <c r="O139" i="1"/>
  <c r="P139" i="1" s="1"/>
  <c r="V136" i="1"/>
  <c r="O138" i="1"/>
  <c r="P138" i="1" s="1"/>
  <c r="V135" i="1"/>
  <c r="P137" i="1"/>
  <c r="O137" i="1"/>
  <c r="V134" i="1"/>
  <c r="P136" i="1"/>
  <c r="O136" i="1"/>
  <c r="V133" i="1"/>
  <c r="P135" i="1"/>
  <c r="O135" i="1"/>
  <c r="V132" i="1"/>
  <c r="P134" i="1"/>
  <c r="O134" i="1"/>
  <c r="V131" i="1"/>
  <c r="O131" i="1"/>
  <c r="P131" i="1" s="1"/>
  <c r="V130" i="1"/>
  <c r="O130" i="1"/>
  <c r="P130" i="1" s="1"/>
  <c r="V129" i="1"/>
  <c r="P129" i="1"/>
  <c r="O129" i="1"/>
  <c r="V128" i="1"/>
  <c r="O128" i="1"/>
  <c r="P128" i="1" s="1"/>
  <c r="V127" i="1"/>
  <c r="O127" i="1"/>
  <c r="P127" i="1" s="1"/>
  <c r="V126" i="1"/>
  <c r="O126" i="1"/>
  <c r="P126" i="1" s="1"/>
  <c r="V125" i="1"/>
  <c r="O125" i="1"/>
  <c r="P125" i="1" s="1"/>
  <c r="V122" i="1"/>
  <c r="O122" i="1"/>
  <c r="P122" i="1" s="1"/>
  <c r="V121" i="1"/>
  <c r="O121" i="1"/>
  <c r="P121" i="1" s="1"/>
  <c r="V124" i="1"/>
  <c r="P124" i="1"/>
  <c r="O124" i="1"/>
  <c r="V123" i="1"/>
  <c r="O123" i="1"/>
  <c r="P123" i="1" s="1"/>
  <c r="V120" i="1"/>
  <c r="O120" i="1"/>
  <c r="P120" i="1" s="1"/>
  <c r="V119" i="1"/>
  <c r="O119" i="1"/>
  <c r="P119" i="1" s="1"/>
  <c r="V118" i="1"/>
  <c r="O118" i="1"/>
  <c r="P118" i="1" s="1"/>
  <c r="V117" i="1"/>
  <c r="O117" i="1"/>
  <c r="P117" i="1" s="1"/>
  <c r="V116" i="1"/>
  <c r="O116" i="1"/>
  <c r="P116" i="1" s="1"/>
  <c r="V115" i="1"/>
  <c r="O115" i="1"/>
  <c r="P115" i="1" s="1"/>
  <c r="V113" i="1"/>
  <c r="O113" i="1"/>
  <c r="P113" i="1" s="1"/>
  <c r="V112" i="1"/>
  <c r="O112" i="1"/>
  <c r="P112" i="1" s="1"/>
  <c r="V111" i="1"/>
  <c r="O111" i="1"/>
  <c r="P111" i="1" s="1"/>
  <c r="O107" i="1"/>
  <c r="P107" i="1" s="1"/>
  <c r="O106" i="1"/>
  <c r="P106" i="1" s="1"/>
  <c r="O105" i="1"/>
  <c r="P105" i="1" s="1"/>
  <c r="O104" i="1"/>
  <c r="P104" i="1" s="1"/>
  <c r="P103" i="1"/>
  <c r="O103" i="1"/>
  <c r="O102" i="1"/>
  <c r="P102" i="1" s="1"/>
  <c r="O101" i="1"/>
  <c r="P101" i="1" s="1"/>
  <c r="O100" i="1"/>
  <c r="P100" i="1" s="1"/>
  <c r="O99" i="1"/>
  <c r="P99" i="1" s="1"/>
  <c r="O98" i="1"/>
  <c r="P98" i="1" s="1"/>
  <c r="O97" i="1"/>
  <c r="P97" i="1" s="1"/>
  <c r="O96" i="1"/>
  <c r="P96" i="1" s="1"/>
  <c r="P95" i="1"/>
  <c r="O95" i="1"/>
  <c r="P94" i="1"/>
  <c r="O94" i="1"/>
  <c r="P93" i="1"/>
  <c r="O93" i="1"/>
  <c r="P92" i="1"/>
  <c r="O92" i="1"/>
  <c r="O89" i="1"/>
  <c r="P89" i="1" s="1"/>
  <c r="O88" i="1"/>
  <c r="P88" i="1" s="1"/>
  <c r="O86" i="1"/>
  <c r="P86" i="1" s="1"/>
  <c r="O85" i="1"/>
  <c r="P85" i="1" s="1"/>
  <c r="O84" i="1"/>
  <c r="P84" i="1" s="1"/>
  <c r="O83" i="1"/>
  <c r="P83" i="1" s="1"/>
  <c r="O82" i="1"/>
  <c r="P82" i="1" s="1"/>
  <c r="O81" i="1"/>
  <c r="P81" i="1" s="1"/>
  <c r="O80" i="1"/>
  <c r="P80" i="1" s="1"/>
  <c r="O79" i="1"/>
  <c r="P79" i="1" s="1"/>
  <c r="O78" i="1"/>
  <c r="P78" i="1" s="1"/>
  <c r="O76" i="1"/>
  <c r="P76" i="1" s="1"/>
  <c r="P75" i="1"/>
  <c r="O75" i="1"/>
  <c r="P74" i="1"/>
  <c r="O74" i="1"/>
  <c r="O73" i="1"/>
  <c r="P73" i="1" s="1"/>
  <c r="O72" i="1"/>
  <c r="P72" i="1" s="1"/>
  <c r="O71" i="1"/>
  <c r="P71" i="1" s="1"/>
  <c r="O70" i="1"/>
  <c r="P70" i="1" s="1"/>
  <c r="O69" i="1"/>
  <c r="P69" i="1" s="1"/>
  <c r="O68" i="1"/>
  <c r="P68" i="1" s="1"/>
  <c r="O67" i="1"/>
  <c r="P67" i="1" s="1"/>
  <c r="O66" i="1"/>
  <c r="P66" i="1" s="1"/>
  <c r="O65" i="1"/>
  <c r="P65" i="1" s="1"/>
  <c r="P64" i="1"/>
  <c r="O64" i="1"/>
  <c r="O63" i="1"/>
  <c r="P63" i="1" s="1"/>
  <c r="O62" i="1"/>
  <c r="P62" i="1" s="1"/>
  <c r="P61" i="1"/>
  <c r="O61" i="1"/>
  <c r="O60" i="1"/>
  <c r="P60" i="1" s="1"/>
  <c r="O59" i="1"/>
  <c r="P59" i="1" s="1"/>
  <c r="O58" i="1"/>
  <c r="P58" i="1" s="1"/>
  <c r="O57" i="1"/>
  <c r="P57" i="1" s="1"/>
  <c r="O52" i="1"/>
  <c r="P52" i="1" s="1"/>
  <c r="O51" i="1"/>
  <c r="P51" i="1" s="1"/>
  <c r="O50" i="1"/>
  <c r="P50" i="1" s="1"/>
  <c r="O49" i="1"/>
  <c r="P49" i="1" s="1"/>
  <c r="O48" i="1"/>
  <c r="P48" i="1" s="1"/>
  <c r="O47" i="1"/>
  <c r="P47" i="1" s="1"/>
  <c r="O45" i="1"/>
  <c r="P45" i="1" s="1"/>
  <c r="O44" i="1"/>
  <c r="P44" i="1" s="1"/>
  <c r="O43" i="1"/>
  <c r="P43" i="1" s="1"/>
  <c r="O42" i="1"/>
  <c r="P42" i="1" s="1"/>
  <c r="O41" i="1"/>
  <c r="P41" i="1" s="1"/>
  <c r="AK40" i="1"/>
  <c r="W40" i="1"/>
  <c r="T40" i="1" s="1"/>
  <c r="O40" i="1"/>
  <c r="P40" i="1" s="1"/>
  <c r="AK39" i="1"/>
  <c r="W39" i="1"/>
  <c r="AG39" i="1" s="1" a="1"/>
  <c r="AG39" i="1" s="1"/>
  <c r="O39" i="1"/>
  <c r="P39" i="1" s="1"/>
  <c r="AK38" i="1"/>
  <c r="W38" i="1"/>
  <c r="AG38" i="1" s="1" a="1"/>
  <c r="AG38" i="1" s="1"/>
  <c r="O38" i="1"/>
  <c r="P38" i="1" s="1"/>
  <c r="AK37" i="1"/>
  <c r="W37" i="1"/>
  <c r="AH37" i="1" s="1" a="1"/>
  <c r="AH37" i="1" s="1"/>
  <c r="O37" i="1"/>
  <c r="P37" i="1" s="1"/>
  <c r="AK36" i="1"/>
  <c r="W36" i="1"/>
  <c r="T36" i="1" s="1"/>
  <c r="O36" i="1"/>
  <c r="P36" i="1" s="1"/>
  <c r="AK35" i="1"/>
  <c r="W35" i="1"/>
  <c r="AG35" i="1" s="1" a="1"/>
  <c r="AG35" i="1" s="1"/>
  <c r="O35" i="1"/>
  <c r="P35" i="1" s="1"/>
  <c r="AK34" i="1"/>
  <c r="W34" i="1"/>
  <c r="AG34" i="1" s="1" a="1"/>
  <c r="AG34" i="1" s="1"/>
  <c r="P34" i="1"/>
  <c r="O34" i="1"/>
  <c r="AK33" i="1"/>
  <c r="W33" i="1"/>
  <c r="AH33" i="1" s="1" a="1"/>
  <c r="AH33" i="1" s="1"/>
  <c r="O33" i="1"/>
  <c r="P33" i="1" s="1"/>
  <c r="AK32" i="1"/>
  <c r="W32" i="1"/>
  <c r="T32" i="1" s="1"/>
  <c r="O32" i="1"/>
  <c r="P32" i="1" s="1"/>
  <c r="AK31" i="1"/>
  <c r="W31" i="1"/>
  <c r="AG31" i="1" s="1" a="1"/>
  <c r="AG31" i="1" s="1"/>
  <c r="O31" i="1"/>
  <c r="P31" i="1" s="1"/>
  <c r="AK30" i="1"/>
  <c r="W30" i="1"/>
  <c r="AA30" i="1" s="1" a="1"/>
  <c r="AA30" i="1" s="1"/>
  <c r="O30" i="1"/>
  <c r="P30" i="1" s="1"/>
  <c r="AK29" i="1"/>
  <c r="W29" i="1"/>
  <c r="AH29" i="1" s="1" a="1"/>
  <c r="AH29" i="1" s="1"/>
  <c r="O29" i="1"/>
  <c r="P29" i="1" s="1"/>
  <c r="AK28" i="1"/>
  <c r="W28" i="1"/>
  <c r="T28" i="1" s="1"/>
  <c r="O28" i="1"/>
  <c r="P28" i="1" s="1"/>
  <c r="AK27" i="1"/>
  <c r="W27" i="1"/>
  <c r="AG27" i="1" s="1" a="1"/>
  <c r="AG27" i="1" s="1"/>
  <c r="O27" i="1"/>
  <c r="P27" i="1" s="1"/>
  <c r="AK26" i="1"/>
  <c r="W26" i="1"/>
  <c r="AG26" i="1" s="1" a="1"/>
  <c r="AG26" i="1" s="1"/>
  <c r="O26" i="1"/>
  <c r="P26" i="1" s="1"/>
  <c r="AK25" i="1"/>
  <c r="W25" i="1"/>
  <c r="AH25" i="1" s="1" a="1"/>
  <c r="AH25" i="1" s="1"/>
  <c r="O25" i="1"/>
  <c r="P25" i="1" s="1"/>
  <c r="AK24" i="1"/>
  <c r="W24" i="1"/>
  <c r="T24" i="1" s="1"/>
  <c r="P24" i="1"/>
  <c r="O24" i="1"/>
  <c r="AK23" i="1"/>
  <c r="W23" i="1"/>
  <c r="AG23" i="1" s="1" a="1"/>
  <c r="AG23" i="1" s="1"/>
  <c r="P23" i="1"/>
  <c r="O23" i="1"/>
  <c r="AK22" i="1"/>
  <c r="W22" i="1"/>
  <c r="AG22" i="1" s="1" a="1"/>
  <c r="AG22" i="1" s="1"/>
  <c r="O22" i="1"/>
  <c r="P22" i="1" s="1"/>
  <c r="AK21" i="1"/>
  <c r="W21" i="1"/>
  <c r="AH21" i="1" s="1" a="1"/>
  <c r="AH21" i="1" s="1"/>
  <c r="O21" i="1"/>
  <c r="P21" i="1" s="1"/>
  <c r="AK20" i="1"/>
  <c r="W20" i="1"/>
  <c r="T20" i="1" s="1"/>
  <c r="O20" i="1"/>
  <c r="P20" i="1" s="1"/>
  <c r="AK19" i="1"/>
  <c r="W19" i="1"/>
  <c r="AG19" i="1" s="1" a="1"/>
  <c r="AG19" i="1" s="1"/>
  <c r="O19" i="1"/>
  <c r="P19" i="1" s="1"/>
  <c r="AK18" i="1"/>
  <c r="W18" i="1"/>
  <c r="AC18" i="1" s="1" a="1"/>
  <c r="AC18" i="1" s="1"/>
  <c r="O18" i="1"/>
  <c r="P18" i="1" s="1"/>
  <c r="AK17" i="1"/>
  <c r="W17" i="1"/>
  <c r="AH17" i="1" s="1" a="1"/>
  <c r="AH17" i="1" s="1"/>
  <c r="P17" i="1"/>
  <c r="O17" i="1"/>
  <c r="AK16" i="1"/>
  <c r="W16" i="1"/>
  <c r="T16" i="1" s="1"/>
  <c r="P16" i="1"/>
  <c r="O16" i="1"/>
  <c r="AK15" i="1"/>
  <c r="W15" i="1"/>
  <c r="AG15" i="1" s="1" a="1"/>
  <c r="AG15" i="1" s="1"/>
  <c r="O15" i="1"/>
  <c r="P15" i="1" s="1"/>
  <c r="AK14" i="1"/>
  <c r="W14" i="1"/>
  <c r="O14" i="1"/>
  <c r="P14" i="1" s="1"/>
  <c r="AK13" i="1"/>
  <c r="W13" i="1"/>
  <c r="AH13" i="1" s="1" a="1"/>
  <c r="AH13" i="1" s="1"/>
  <c r="O13" i="1"/>
  <c r="P13" i="1" s="1"/>
  <c r="AK12" i="1"/>
  <c r="W12" i="1"/>
  <c r="T12" i="1" s="1"/>
  <c r="O12" i="1"/>
  <c r="P12" i="1" s="1"/>
  <c r="AK11" i="1"/>
  <c r="W11" i="1"/>
  <c r="AG11" i="1" s="1" a="1"/>
  <c r="AG11" i="1" s="1"/>
  <c r="O11" i="1"/>
  <c r="P11" i="1" s="1"/>
  <c r="W10" i="1"/>
  <c r="AG10" i="1" s="1" a="1"/>
  <c r="AG10" i="1" s="1"/>
  <c r="O10" i="1"/>
  <c r="P10" i="1" s="1"/>
  <c r="K6" i="1"/>
  <c r="K5" i="1"/>
  <c r="L4" i="1"/>
  <c r="T1" i="1"/>
  <c r="AJ38" i="1"/>
  <c r="AJ19" i="1"/>
  <c r="AJ31" i="1"/>
  <c r="AJ23" i="1"/>
  <c r="AJ36" i="1"/>
  <c r="AJ28" i="1"/>
  <c r="AJ24" i="1"/>
  <c r="AJ25" i="1"/>
  <c r="AJ40" i="1"/>
  <c r="AJ17" i="1"/>
  <c r="AJ35" i="1"/>
  <c r="AJ18" i="1"/>
  <c r="T2" i="1"/>
  <c r="AJ20" i="1"/>
  <c r="AJ37" i="1"/>
  <c r="AJ15" i="1"/>
  <c r="AJ34" i="1"/>
  <c r="AJ11" i="1"/>
  <c r="A2" i="4"/>
  <c r="AJ21" i="1"/>
  <c r="AJ27" i="1"/>
  <c r="AJ32" i="1"/>
  <c r="AJ10" i="1"/>
  <c r="AI10" i="1"/>
  <c r="AJ13" i="1"/>
  <c r="AJ39" i="1"/>
  <c r="AJ16" i="1"/>
  <c r="AJ26" i="1"/>
  <c r="AJ12" i="1"/>
  <c r="AJ30" i="1"/>
  <c r="AJ22" i="1"/>
  <c r="AJ33" i="1"/>
  <c r="AJ14" i="1"/>
  <c r="AJ29" i="1"/>
  <c r="E136" i="5" l="1"/>
  <c r="F94" i="4" s="1"/>
  <c r="F95" i="4" s="1"/>
  <c r="E11" i="5"/>
  <c r="J136" i="5"/>
  <c r="K94" i="4" s="1"/>
  <c r="N136" i="5"/>
  <c r="O94" i="4" s="1"/>
  <c r="K136" i="5"/>
  <c r="L94" i="4" s="1"/>
  <c r="O35" i="5"/>
  <c r="O136" i="5"/>
  <c r="P94" i="4" s="1"/>
  <c r="H136" i="5"/>
  <c r="I94" i="4" s="1"/>
  <c r="L136" i="5"/>
  <c r="M94" i="4" s="1"/>
  <c r="P35" i="5"/>
  <c r="P136" i="5"/>
  <c r="Q94" i="4" s="1"/>
  <c r="G136" i="5"/>
  <c r="H94" i="4" s="1"/>
  <c r="I136" i="5"/>
  <c r="J94" i="4" s="1"/>
  <c r="M136" i="5"/>
  <c r="N94" i="4" s="1"/>
  <c r="F23" i="5"/>
  <c r="F136" i="5"/>
  <c r="G94" i="4" s="1"/>
  <c r="E137" i="5"/>
  <c r="H35" i="5"/>
  <c r="L35" i="5"/>
  <c r="I35" i="5"/>
  <c r="M35" i="5"/>
  <c r="M137" i="5"/>
  <c r="F35" i="5"/>
  <c r="J35" i="5"/>
  <c r="J137" i="5"/>
  <c r="N35" i="5"/>
  <c r="G35" i="5"/>
  <c r="K35" i="5"/>
  <c r="K137" i="5"/>
  <c r="P134" i="5"/>
  <c r="BL28" i="4"/>
  <c r="BN28" i="4"/>
  <c r="CN28" i="4" s="1"/>
  <c r="K115" i="5"/>
  <c r="E134" i="5"/>
  <c r="M134" i="5"/>
  <c r="F134" i="5"/>
  <c r="H134" i="5"/>
  <c r="J134" i="5"/>
  <c r="AA14" i="1" a="1"/>
  <c r="AA14" i="1" s="1"/>
  <c r="T11" i="1"/>
  <c r="AB20" i="1" a="1"/>
  <c r="AB20" i="1" s="1"/>
  <c r="X24" i="1" a="1"/>
  <c r="X24" i="1" s="1"/>
  <c r="Z11" i="1" a="1"/>
  <c r="Z11" i="1" s="1"/>
  <c r="AC30" i="1" a="1"/>
  <c r="AC30" i="1" s="1"/>
  <c r="AD31" i="1" a="1"/>
  <c r="AD31" i="1" s="1"/>
  <c r="X32" i="1" a="1"/>
  <c r="X32" i="1" s="1"/>
  <c r="T10" i="1"/>
  <c r="AH32" i="1" a="1"/>
  <c r="AH32" i="1" s="1"/>
  <c r="X35" i="1" a="1"/>
  <c r="X35" i="1" s="1"/>
  <c r="AC14" i="1" a="1"/>
  <c r="AC14" i="1" s="1"/>
  <c r="X16" i="1" a="1"/>
  <c r="X16" i="1" s="1"/>
  <c r="AD19" i="1" a="1"/>
  <c r="AD19" i="1" s="1"/>
  <c r="X20" i="1" a="1"/>
  <c r="X20" i="1" s="1"/>
  <c r="AD10" i="1" a="1"/>
  <c r="AD10" i="1" s="1"/>
  <c r="AB11" i="1" a="1"/>
  <c r="AB11" i="1" s="1"/>
  <c r="AF16" i="1" a="1"/>
  <c r="AF16" i="1" s="1"/>
  <c r="Z20" i="1" a="1"/>
  <c r="Z20" i="1" s="1"/>
  <c r="X36" i="1" a="1"/>
  <c r="X36" i="1" s="1"/>
  <c r="Z36" i="1" a="1"/>
  <c r="Z36" i="1" s="1"/>
  <c r="X39" i="1" a="1"/>
  <c r="X39" i="1" s="1"/>
  <c r="X40" i="1" a="1"/>
  <c r="X40" i="1" s="1"/>
  <c r="AH20" i="1" a="1"/>
  <c r="AH20" i="1" s="1"/>
  <c r="AA22" i="1" a="1"/>
  <c r="AA22" i="1" s="1"/>
  <c r="AF27" i="1" a="1"/>
  <c r="AF27" i="1" s="1"/>
  <c r="Y29" i="1" a="1"/>
  <c r="Y29" i="1" s="1"/>
  <c r="AF36" i="1" a="1"/>
  <c r="AF36" i="1" s="1"/>
  <c r="Z40" i="1" a="1"/>
  <c r="Z40" i="1" s="1"/>
  <c r="Z15" i="1" a="1"/>
  <c r="Z15" i="1" s="1"/>
  <c r="AF11" i="1" a="1"/>
  <c r="AF11" i="1" s="1"/>
  <c r="X11" i="1" a="1"/>
  <c r="X11" i="1" s="1"/>
  <c r="T15" i="1"/>
  <c r="Z16" i="1" a="1"/>
  <c r="Z16" i="1" s="1"/>
  <c r="AF20" i="1" a="1"/>
  <c r="AF20" i="1" s="1"/>
  <c r="AF24" i="1" a="1"/>
  <c r="AF24" i="1" s="1"/>
  <c r="Z32" i="1" a="1"/>
  <c r="Z32" i="1" s="1"/>
  <c r="Y22" i="1" a="1"/>
  <c r="Y22" i="1" s="1"/>
  <c r="AB32" i="1" a="1"/>
  <c r="AB32" i="1" s="1"/>
  <c r="AB35" i="1" a="1"/>
  <c r="AB35" i="1" s="1"/>
  <c r="AF40" i="1" a="1"/>
  <c r="AF40" i="1" s="1"/>
  <c r="AH11" i="1" a="1"/>
  <c r="AH11" i="1" s="1"/>
  <c r="AD15" i="1" a="1"/>
  <c r="AD15" i="1" s="1"/>
  <c r="AH16" i="1" a="1"/>
  <c r="AH16" i="1" s="1"/>
  <c r="AF32" i="1" a="1"/>
  <c r="AF32" i="1" s="1"/>
  <c r="AH35" i="1" a="1"/>
  <c r="AH35" i="1" s="1"/>
  <c r="AH40" i="1" a="1"/>
  <c r="AH40" i="1" s="1"/>
  <c r="AF12" i="1" a="1"/>
  <c r="AF12" i="1" s="1"/>
  <c r="AD28" i="1" a="1"/>
  <c r="AD28" i="1" s="1"/>
  <c r="X23" i="1" a="1"/>
  <c r="X23" i="1" s="1"/>
  <c r="AB23" i="1" a="1"/>
  <c r="AB23" i="1" s="1"/>
  <c r="AF23" i="1" a="1"/>
  <c r="AF23" i="1" s="1"/>
  <c r="Z24" i="1" a="1"/>
  <c r="Z24" i="1" s="1"/>
  <c r="AH24" i="1" a="1"/>
  <c r="AH24" i="1" s="1"/>
  <c r="Y26" i="1" a="1"/>
  <c r="Y26" i="1" s="1"/>
  <c r="Z27" i="1" a="1"/>
  <c r="Z27" i="1" s="1"/>
  <c r="AH27" i="1" a="1"/>
  <c r="AH27" i="1" s="1"/>
  <c r="X28" i="1" a="1"/>
  <c r="X28" i="1" s="1"/>
  <c r="AF28" i="1" a="1"/>
  <c r="AF28" i="1" s="1"/>
  <c r="Y34" i="1" a="1"/>
  <c r="Y34" i="1" s="1"/>
  <c r="X15" i="1" a="1"/>
  <c r="X15" i="1" s="1"/>
  <c r="AD35" i="1" a="1"/>
  <c r="AD35" i="1" s="1"/>
  <c r="AH36" i="1" a="1"/>
  <c r="AH36" i="1" s="1"/>
  <c r="Y38" i="1" a="1"/>
  <c r="Y38" i="1" s="1"/>
  <c r="AB15" i="1" a="1"/>
  <c r="AB15" i="1" s="1"/>
  <c r="AF10" i="1" a="1"/>
  <c r="AF10" i="1" s="1"/>
  <c r="Z12" i="1" a="1"/>
  <c r="Z12" i="1" s="1"/>
  <c r="AH12" i="1" a="1"/>
  <c r="AH12" i="1" s="1"/>
  <c r="AG14" i="1" a="1"/>
  <c r="AG14" i="1" s="1"/>
  <c r="Y18" i="1" a="1"/>
  <c r="Y18" i="1" s="1"/>
  <c r="Z19" i="1" a="1"/>
  <c r="Z19" i="1" s="1"/>
  <c r="AB10" i="1" a="1"/>
  <c r="AB10" i="1" s="1"/>
  <c r="AD11" i="1" a="1"/>
  <c r="AD11" i="1" s="1"/>
  <c r="AB12" i="1" a="1"/>
  <c r="AB12" i="1" s="1"/>
  <c r="Y14" i="1" a="1"/>
  <c r="Y14" i="1" s="1"/>
  <c r="AF15" i="1" a="1"/>
  <c r="AF15" i="1" s="1"/>
  <c r="AB16" i="1" a="1"/>
  <c r="AB16" i="1" s="1"/>
  <c r="AA18" i="1" a="1"/>
  <c r="AA18" i="1" s="1"/>
  <c r="Y12" i="1" a="1"/>
  <c r="Y12" i="1" s="1"/>
  <c r="AF19" i="1" a="1"/>
  <c r="AF19" i="1" s="1"/>
  <c r="AD20" i="1" a="1"/>
  <c r="AD20" i="1" s="1"/>
  <c r="T23" i="1"/>
  <c r="AB24" i="1" a="1"/>
  <c r="AB24" i="1" s="1"/>
  <c r="AA26" i="1" a="1"/>
  <c r="AA26" i="1" s="1"/>
  <c r="T27" i="1"/>
  <c r="AB27" i="1" a="1"/>
  <c r="AB27" i="1" s="1"/>
  <c r="Z28" i="1" a="1"/>
  <c r="Z28" i="1" s="1"/>
  <c r="AH28" i="1" a="1"/>
  <c r="AH28" i="1" s="1"/>
  <c r="Z31" i="1" a="1"/>
  <c r="Z31" i="1" s="1"/>
  <c r="AF31" i="1" a="1"/>
  <c r="AF31" i="1" s="1"/>
  <c r="AD32" i="1" a="1"/>
  <c r="AD32" i="1" s="1"/>
  <c r="AA34" i="1" a="1"/>
  <c r="AA34" i="1" s="1"/>
  <c r="T35" i="1"/>
  <c r="AB36" i="1" a="1"/>
  <c r="AB36" i="1" s="1"/>
  <c r="AC38" i="1" a="1"/>
  <c r="AC38" i="1" s="1"/>
  <c r="T39" i="1"/>
  <c r="AB40" i="1" a="1"/>
  <c r="AB40" i="1" s="1"/>
  <c r="X31" i="1" a="1"/>
  <c r="X31" i="1" s="1"/>
  <c r="X10" i="1"/>
  <c r="AG18" i="1" a="1"/>
  <c r="AG18" i="1" s="1"/>
  <c r="X19" i="1" a="1"/>
  <c r="X19" i="1" s="1"/>
  <c r="AH10" i="1" a="1"/>
  <c r="AH10" i="1" s="1"/>
  <c r="Z10" i="1" a="1"/>
  <c r="Z10" i="1" s="1"/>
  <c r="AD12" i="1" a="1"/>
  <c r="AD12" i="1" s="1"/>
  <c r="AH15" i="1" a="1"/>
  <c r="AH15" i="1" s="1"/>
  <c r="AD16" i="1" a="1"/>
  <c r="AD16" i="1" s="1"/>
  <c r="X12" i="1" a="1"/>
  <c r="X12" i="1" s="1"/>
  <c r="T19" i="1"/>
  <c r="AB19" i="1" a="1"/>
  <c r="AB19" i="1" s="1"/>
  <c r="AH19" i="1" a="1"/>
  <c r="AH19" i="1" s="1"/>
  <c r="Z23" i="1" a="1"/>
  <c r="Z23" i="1" s="1"/>
  <c r="AD23" i="1" a="1"/>
  <c r="AD23" i="1" s="1"/>
  <c r="AH23" i="1" a="1"/>
  <c r="AH23" i="1" s="1"/>
  <c r="AD24" i="1" a="1"/>
  <c r="AD24" i="1" s="1"/>
  <c r="Y13" i="1" a="1"/>
  <c r="Y13" i="1" s="1"/>
  <c r="AD27" i="1" a="1"/>
  <c r="AD27" i="1" s="1"/>
  <c r="AB28" i="1" a="1"/>
  <c r="AB28" i="1" s="1"/>
  <c r="T31" i="1"/>
  <c r="AB31" i="1" a="1"/>
  <c r="AB31" i="1" s="1"/>
  <c r="AH31" i="1" a="1"/>
  <c r="AH31" i="1" s="1"/>
  <c r="AF35" i="1" a="1"/>
  <c r="AF35" i="1" s="1"/>
  <c r="AD36" i="1" a="1"/>
  <c r="AD36" i="1" s="1"/>
  <c r="AD40" i="1" a="1"/>
  <c r="AD40" i="1" s="1"/>
  <c r="X27" i="1" a="1"/>
  <c r="X27" i="1" s="1"/>
  <c r="Z35" i="1" a="1"/>
  <c r="Z35" i="1" s="1"/>
  <c r="W8" i="1"/>
  <c r="T3" i="1"/>
  <c r="AK10" i="1"/>
  <c r="A3" i="4"/>
  <c r="A4" i="4" s="1"/>
  <c r="AH22" i="1" a="1"/>
  <c r="AH22" i="1" s="1"/>
  <c r="AF22" i="1" a="1"/>
  <c r="AF22" i="1" s="1"/>
  <c r="AD22" i="1" a="1"/>
  <c r="AD22" i="1" s="1"/>
  <c r="AB22" i="1" a="1"/>
  <c r="AB22" i="1" s="1"/>
  <c r="Z22" i="1" a="1"/>
  <c r="Z22" i="1" s="1"/>
  <c r="X22" i="1" a="1"/>
  <c r="X22" i="1" s="1"/>
  <c r="T22" i="1"/>
  <c r="AE22" i="1" a="1"/>
  <c r="AE22" i="1" s="1"/>
  <c r="AH26" i="1" a="1"/>
  <c r="AH26" i="1" s="1"/>
  <c r="AF26" i="1" a="1"/>
  <c r="AF26" i="1" s="1"/>
  <c r="AD26" i="1" a="1"/>
  <c r="AD26" i="1" s="1"/>
  <c r="AB26" i="1" a="1"/>
  <c r="AB26" i="1" s="1"/>
  <c r="Z26" i="1" a="1"/>
  <c r="Z26" i="1" s="1"/>
  <c r="X26" i="1" a="1"/>
  <c r="X26" i="1" s="1"/>
  <c r="T26" i="1"/>
  <c r="AE26" i="1" a="1"/>
  <c r="AE26" i="1" s="1"/>
  <c r="AH34" i="1" a="1"/>
  <c r="AH34" i="1" s="1"/>
  <c r="AF34" i="1" a="1"/>
  <c r="AF34" i="1" s="1"/>
  <c r="AD34" i="1" a="1"/>
  <c r="AD34" i="1" s="1"/>
  <c r="AB34" i="1" a="1"/>
  <c r="AB34" i="1" s="1"/>
  <c r="Z34" i="1" a="1"/>
  <c r="Z34" i="1" s="1"/>
  <c r="X34" i="1" a="1"/>
  <c r="X34" i="1" s="1"/>
  <c r="T34" i="1"/>
  <c r="AE34" i="1" a="1"/>
  <c r="AE34" i="1" s="1"/>
  <c r="AH38" i="1" a="1"/>
  <c r="AH38" i="1" s="1"/>
  <c r="AF38" i="1" a="1"/>
  <c r="AF38" i="1" s="1"/>
  <c r="AD38" i="1" a="1"/>
  <c r="AD38" i="1" s="1"/>
  <c r="AB38" i="1" a="1"/>
  <c r="AB38" i="1" s="1"/>
  <c r="Z38" i="1" a="1"/>
  <c r="Z38" i="1" s="1"/>
  <c r="X38" i="1" a="1"/>
  <c r="X38" i="1" s="1"/>
  <c r="T38" i="1"/>
  <c r="AE38" i="1" a="1"/>
  <c r="AE38" i="1" s="1"/>
  <c r="AH30" i="1" a="1"/>
  <c r="AH30" i="1" s="1"/>
  <c r="AF30" i="1" a="1"/>
  <c r="AF30" i="1" s="1"/>
  <c r="AD30" i="1" a="1"/>
  <c r="AD30" i="1" s="1"/>
  <c r="AB30" i="1" a="1"/>
  <c r="AB30" i="1" s="1"/>
  <c r="Z30" i="1" a="1"/>
  <c r="Z30" i="1" s="1"/>
  <c r="X30" i="1" a="1"/>
  <c r="X30" i="1" s="1"/>
  <c r="T30" i="1"/>
  <c r="AE30" i="1" a="1"/>
  <c r="AE30" i="1" s="1"/>
  <c r="AH14" i="1" a="1"/>
  <c r="AH14" i="1" s="1"/>
  <c r="AF14" i="1" a="1"/>
  <c r="AF14" i="1" s="1"/>
  <c r="AD14" i="1" a="1"/>
  <c r="AD14" i="1" s="1"/>
  <c r="AB14" i="1" a="1"/>
  <c r="AB14" i="1" s="1"/>
  <c r="Z14" i="1" a="1"/>
  <c r="Z14" i="1" s="1"/>
  <c r="X14" i="1" a="1"/>
  <c r="X14" i="1" s="1"/>
  <c r="T14" i="1"/>
  <c r="AE14" i="1" a="1"/>
  <c r="AE14" i="1" s="1"/>
  <c r="AH18" i="1" a="1"/>
  <c r="AH18" i="1" s="1"/>
  <c r="AF18" i="1" a="1"/>
  <c r="AF18" i="1" s="1"/>
  <c r="AD18" i="1" a="1"/>
  <c r="AD18" i="1" s="1"/>
  <c r="AB18" i="1" a="1"/>
  <c r="AB18" i="1" s="1"/>
  <c r="Z18" i="1" a="1"/>
  <c r="Z18" i="1" s="1"/>
  <c r="X18" i="1" a="1"/>
  <c r="X18" i="1" s="1"/>
  <c r="T18" i="1"/>
  <c r="AE18" i="1" a="1"/>
  <c r="AE18" i="1" s="1"/>
  <c r="AC22" i="1" a="1"/>
  <c r="AC22" i="1" s="1"/>
  <c r="AC26" i="1" a="1"/>
  <c r="AC26" i="1" s="1"/>
  <c r="Y30" i="1" a="1"/>
  <c r="Y30" i="1" s="1"/>
  <c r="AG30" i="1" a="1"/>
  <c r="AG30" i="1" s="1"/>
  <c r="AC34" i="1" a="1"/>
  <c r="AC34" i="1" s="1"/>
  <c r="AA38" i="1" a="1"/>
  <c r="AA38" i="1" s="1"/>
  <c r="AC13" i="1" a="1"/>
  <c r="AC13" i="1" s="1"/>
  <c r="AG13" i="1" a="1"/>
  <c r="AG13" i="1" s="1"/>
  <c r="AA17" i="1" a="1"/>
  <c r="AA17" i="1" s="1"/>
  <c r="AE17" i="1" a="1"/>
  <c r="AE17" i="1" s="1"/>
  <c r="Y21" i="1" a="1"/>
  <c r="Y21" i="1" s="1"/>
  <c r="AC21" i="1" a="1"/>
  <c r="AC21" i="1" s="1"/>
  <c r="AE21" i="1" a="1"/>
  <c r="AE21" i="1" s="1"/>
  <c r="Y25" i="1" a="1"/>
  <c r="Y25" i="1" s="1"/>
  <c r="AA25" i="1" a="1"/>
  <c r="AA25" i="1" s="1"/>
  <c r="AE25" i="1" a="1"/>
  <c r="AE25" i="1" s="1"/>
  <c r="AG25" i="1" a="1"/>
  <c r="AG25" i="1" s="1"/>
  <c r="AA29" i="1" a="1"/>
  <c r="AA29" i="1" s="1"/>
  <c r="AC29" i="1" a="1"/>
  <c r="AC29" i="1" s="1"/>
  <c r="AE29" i="1" a="1"/>
  <c r="AE29" i="1" s="1"/>
  <c r="AG29" i="1" a="1"/>
  <c r="AG29" i="1" s="1"/>
  <c r="Y33" i="1" a="1"/>
  <c r="Y33" i="1" s="1"/>
  <c r="AA33" i="1" a="1"/>
  <c r="AA33" i="1" s="1"/>
  <c r="AC33" i="1" a="1"/>
  <c r="AC33" i="1" s="1"/>
  <c r="AE33" i="1" a="1"/>
  <c r="AE33" i="1" s="1"/>
  <c r="AG33" i="1" a="1"/>
  <c r="AG33" i="1" s="1"/>
  <c r="Y37" i="1" a="1"/>
  <c r="Y37" i="1" s="1"/>
  <c r="AA37" i="1" a="1"/>
  <c r="AA37" i="1" s="1"/>
  <c r="AC37" i="1" a="1"/>
  <c r="AC37" i="1" s="1"/>
  <c r="AE37" i="1" a="1"/>
  <c r="AE37" i="1" s="1"/>
  <c r="AG37" i="1" a="1"/>
  <c r="AG37" i="1" s="1"/>
  <c r="Z39" i="1" a="1"/>
  <c r="Z39" i="1" s="1"/>
  <c r="AB39" i="1" a="1"/>
  <c r="AB39" i="1" s="1"/>
  <c r="AD39" i="1" a="1"/>
  <c r="AD39" i="1" s="1"/>
  <c r="AF39" i="1" a="1"/>
  <c r="AF39" i="1" s="1"/>
  <c r="AH39" i="1" a="1"/>
  <c r="AH39" i="1" s="1"/>
  <c r="AA13" i="1" a="1"/>
  <c r="AA13" i="1" s="1"/>
  <c r="AE13" i="1" a="1"/>
  <c r="AE13" i="1" s="1"/>
  <c r="Y17" i="1" a="1"/>
  <c r="Y17" i="1" s="1"/>
  <c r="AC17" i="1" a="1"/>
  <c r="AC17" i="1" s="1"/>
  <c r="AG17" i="1" a="1"/>
  <c r="AG17" i="1" s="1"/>
  <c r="AA21" i="1" a="1"/>
  <c r="AA21" i="1" s="1"/>
  <c r="AG21" i="1" a="1"/>
  <c r="AG21" i="1" s="1"/>
  <c r="AC25" i="1" a="1"/>
  <c r="AC25" i="1" s="1"/>
  <c r="AE12" i="1" a="1"/>
  <c r="AE12" i="1" s="1"/>
  <c r="T13" i="1"/>
  <c r="Y16" i="1" a="1"/>
  <c r="Y16" i="1" s="1"/>
  <c r="AA16" i="1" a="1"/>
  <c r="AA16" i="1" s="1"/>
  <c r="AC16" i="1" a="1"/>
  <c r="AC16" i="1" s="1"/>
  <c r="AE16" i="1" a="1"/>
  <c r="AE16" i="1" s="1"/>
  <c r="AG16" i="1" a="1"/>
  <c r="AG16" i="1" s="1"/>
  <c r="T17" i="1"/>
  <c r="Y20" i="1" a="1"/>
  <c r="Y20" i="1" s="1"/>
  <c r="AA20" i="1" a="1"/>
  <c r="AA20" i="1" s="1"/>
  <c r="AC20" i="1" a="1"/>
  <c r="AC20" i="1" s="1"/>
  <c r="AE20" i="1" a="1"/>
  <c r="AE20" i="1" s="1"/>
  <c r="AG20" i="1" a="1"/>
  <c r="AG20" i="1" s="1"/>
  <c r="T21" i="1"/>
  <c r="Y24" i="1" a="1"/>
  <c r="Y24" i="1" s="1"/>
  <c r="AA24" i="1" a="1"/>
  <c r="AA24" i="1" s="1"/>
  <c r="AC24" i="1" a="1"/>
  <c r="AC24" i="1" s="1"/>
  <c r="AE24" i="1" a="1"/>
  <c r="AE24" i="1" s="1"/>
  <c r="AG24" i="1" a="1"/>
  <c r="AG24" i="1" s="1"/>
  <c r="T25" i="1"/>
  <c r="Y28" i="1" a="1"/>
  <c r="Y28" i="1" s="1"/>
  <c r="AA28" i="1" a="1"/>
  <c r="AA28" i="1" s="1"/>
  <c r="AC28" i="1" a="1"/>
  <c r="AC28" i="1" s="1"/>
  <c r="AE28" i="1" a="1"/>
  <c r="AE28" i="1" s="1"/>
  <c r="AG28" i="1" a="1"/>
  <c r="AG28" i="1" s="1"/>
  <c r="T29" i="1"/>
  <c r="Y32" i="1" a="1"/>
  <c r="Y32" i="1" s="1"/>
  <c r="AA32" i="1" a="1"/>
  <c r="AA32" i="1" s="1"/>
  <c r="AC32" i="1" a="1"/>
  <c r="AC32" i="1" s="1"/>
  <c r="AE32" i="1" a="1"/>
  <c r="AE32" i="1" s="1"/>
  <c r="AG32" i="1" a="1"/>
  <c r="AG32" i="1" s="1"/>
  <c r="T33" i="1"/>
  <c r="Y36" i="1" a="1"/>
  <c r="Y36" i="1" s="1"/>
  <c r="AA36" i="1" a="1"/>
  <c r="AA36" i="1" s="1"/>
  <c r="AC36" i="1" a="1"/>
  <c r="AC36" i="1" s="1"/>
  <c r="AE36" i="1" a="1"/>
  <c r="AE36" i="1" s="1"/>
  <c r="AG36" i="1" a="1"/>
  <c r="AG36" i="1" s="1"/>
  <c r="T37" i="1"/>
  <c r="Y40" i="1" a="1"/>
  <c r="Y40" i="1" s="1"/>
  <c r="AA40" i="1" a="1"/>
  <c r="AA40" i="1" s="1"/>
  <c r="AC40" i="1" a="1"/>
  <c r="AC40" i="1" s="1"/>
  <c r="AE40" i="1" a="1"/>
  <c r="AE40" i="1" s="1"/>
  <c r="AG40" i="1" a="1"/>
  <c r="AG40" i="1" s="1"/>
  <c r="AA12" i="1" a="1"/>
  <c r="AA12" i="1" s="1"/>
  <c r="AC12" i="1" a="1"/>
  <c r="AC12" i="1" s="1"/>
  <c r="AG12" i="1" a="1"/>
  <c r="AG12" i="1" s="1"/>
  <c r="Y10" i="1" a="1"/>
  <c r="Y10" i="1" s="1"/>
  <c r="AA10" i="1" a="1"/>
  <c r="AA10" i="1" s="1"/>
  <c r="AC10" i="1" a="1"/>
  <c r="AC10" i="1" s="1"/>
  <c r="AE10" i="1" a="1"/>
  <c r="AE10" i="1" s="1"/>
  <c r="Y11" i="1" a="1"/>
  <c r="Y11" i="1" s="1"/>
  <c r="AA11" i="1" a="1"/>
  <c r="AA11" i="1" s="1"/>
  <c r="AC11" i="1" a="1"/>
  <c r="AC11" i="1" s="1"/>
  <c r="AE11" i="1" a="1"/>
  <c r="AE11" i="1" s="1"/>
  <c r="X13" i="1" a="1"/>
  <c r="X13" i="1" s="1"/>
  <c r="Z13" i="1" a="1"/>
  <c r="Z13" i="1" s="1"/>
  <c r="AB13" i="1" a="1"/>
  <c r="AB13" i="1" s="1"/>
  <c r="AD13" i="1" a="1"/>
  <c r="AD13" i="1" s="1"/>
  <c r="AF13" i="1" a="1"/>
  <c r="AF13" i="1" s="1"/>
  <c r="Y15" i="1" a="1"/>
  <c r="Y15" i="1" s="1"/>
  <c r="AA15" i="1" a="1"/>
  <c r="AA15" i="1" s="1"/>
  <c r="AC15" i="1" a="1"/>
  <c r="AC15" i="1" s="1"/>
  <c r="AE15" i="1" a="1"/>
  <c r="AE15" i="1" s="1"/>
  <c r="X17" i="1" a="1"/>
  <c r="X17" i="1" s="1"/>
  <c r="Z17" i="1" a="1"/>
  <c r="Z17" i="1" s="1"/>
  <c r="AB17" i="1" a="1"/>
  <c r="AB17" i="1" s="1"/>
  <c r="AD17" i="1" a="1"/>
  <c r="AD17" i="1" s="1"/>
  <c r="AF17" i="1" a="1"/>
  <c r="AF17" i="1" s="1"/>
  <c r="Y19" i="1" a="1"/>
  <c r="Y19" i="1" s="1"/>
  <c r="AA19" i="1" a="1"/>
  <c r="AA19" i="1" s="1"/>
  <c r="AC19" i="1" a="1"/>
  <c r="AC19" i="1" s="1"/>
  <c r="AE19" i="1" a="1"/>
  <c r="AE19" i="1" s="1"/>
  <c r="X21" i="1" a="1"/>
  <c r="X21" i="1" s="1"/>
  <c r="Z21" i="1" a="1"/>
  <c r="Z21" i="1" s="1"/>
  <c r="AB21" i="1" a="1"/>
  <c r="AB21" i="1" s="1"/>
  <c r="AD21" i="1" a="1"/>
  <c r="AD21" i="1" s="1"/>
  <c r="AF21" i="1" a="1"/>
  <c r="AF21" i="1" s="1"/>
  <c r="Y23" i="1" a="1"/>
  <c r="Y23" i="1" s="1"/>
  <c r="AA23" i="1" a="1"/>
  <c r="AA23" i="1" s="1"/>
  <c r="AC23" i="1" a="1"/>
  <c r="AC23" i="1" s="1"/>
  <c r="AE23" i="1" a="1"/>
  <c r="AE23" i="1" s="1"/>
  <c r="X25" i="1" a="1"/>
  <c r="X25" i="1" s="1"/>
  <c r="Z25" i="1" a="1"/>
  <c r="Z25" i="1" s="1"/>
  <c r="AB25" i="1" a="1"/>
  <c r="AB25" i="1" s="1"/>
  <c r="AD25" i="1" a="1"/>
  <c r="AD25" i="1" s="1"/>
  <c r="AF25" i="1" a="1"/>
  <c r="AF25" i="1" s="1"/>
  <c r="Y27" i="1" a="1"/>
  <c r="Y27" i="1" s="1"/>
  <c r="AA27" i="1" a="1"/>
  <c r="AA27" i="1" s="1"/>
  <c r="AC27" i="1" a="1"/>
  <c r="AC27" i="1" s="1"/>
  <c r="AE27" i="1" a="1"/>
  <c r="AE27" i="1" s="1"/>
  <c r="X29" i="1" a="1"/>
  <c r="X29" i="1" s="1"/>
  <c r="Z29" i="1" a="1"/>
  <c r="Z29" i="1" s="1"/>
  <c r="AB29" i="1" a="1"/>
  <c r="AB29" i="1" s="1"/>
  <c r="AD29" i="1" a="1"/>
  <c r="AD29" i="1" s="1"/>
  <c r="AF29" i="1" a="1"/>
  <c r="AF29" i="1" s="1"/>
  <c r="Y31" i="1" a="1"/>
  <c r="Y31" i="1" s="1"/>
  <c r="AA31" i="1" a="1"/>
  <c r="AA31" i="1" s="1"/>
  <c r="AC31" i="1" a="1"/>
  <c r="AC31" i="1" s="1"/>
  <c r="AE31" i="1" a="1"/>
  <c r="AE31" i="1" s="1"/>
  <c r="X33" i="1" a="1"/>
  <c r="X33" i="1" s="1"/>
  <c r="Z33" i="1" a="1"/>
  <c r="Z33" i="1" s="1"/>
  <c r="AB33" i="1" a="1"/>
  <c r="AB33" i="1" s="1"/>
  <c r="AD33" i="1" a="1"/>
  <c r="AD33" i="1" s="1"/>
  <c r="AF33" i="1" a="1"/>
  <c r="AF33" i="1" s="1"/>
  <c r="Y35" i="1" a="1"/>
  <c r="Y35" i="1" s="1"/>
  <c r="AA35" i="1" a="1"/>
  <c r="AA35" i="1" s="1"/>
  <c r="AC35" i="1" a="1"/>
  <c r="AC35" i="1" s="1"/>
  <c r="AE35" i="1" a="1"/>
  <c r="AE35" i="1" s="1"/>
  <c r="X37" i="1" a="1"/>
  <c r="X37" i="1" s="1"/>
  <c r="Z37" i="1" a="1"/>
  <c r="Z37" i="1" s="1"/>
  <c r="AB37" i="1" a="1"/>
  <c r="AB37" i="1" s="1"/>
  <c r="AD37" i="1" a="1"/>
  <c r="AD37" i="1" s="1"/>
  <c r="AF37" i="1" a="1"/>
  <c r="AF37" i="1" s="1"/>
  <c r="Y39" i="1" a="1"/>
  <c r="Y39" i="1" s="1"/>
  <c r="AA39" i="1" a="1"/>
  <c r="AA39" i="1" s="1"/>
  <c r="AC39" i="1" a="1"/>
  <c r="AC39" i="1" s="1"/>
  <c r="AE39" i="1" a="1"/>
  <c r="AE39" i="1" s="1"/>
  <c r="R7" i="7"/>
  <c r="G137" i="5" l="1"/>
  <c r="H137" i="5"/>
  <c r="I137" i="5"/>
  <c r="N137" i="5"/>
  <c r="L137" i="5"/>
  <c r="O137" i="5"/>
  <c r="E94" i="4"/>
  <c r="E95" i="4" s="1"/>
  <c r="G95" i="4"/>
  <c r="F137" i="5"/>
  <c r="K122" i="5"/>
  <c r="L115" i="5" s="1"/>
  <c r="W5" i="4"/>
  <c r="X5" i="4"/>
  <c r="AB5" i="4"/>
  <c r="AF5" i="4"/>
  <c r="AJ5" i="4"/>
  <c r="AN5" i="4"/>
  <c r="AR5" i="4"/>
  <c r="AV5" i="4"/>
  <c r="AZ5" i="4"/>
  <c r="BD5" i="4"/>
  <c r="BH5" i="4"/>
  <c r="BL5" i="4"/>
  <c r="BP5" i="4"/>
  <c r="BT5" i="4"/>
  <c r="BX5" i="4"/>
  <c r="CB5" i="4"/>
  <c r="CF5" i="4"/>
  <c r="CJ5" i="4"/>
  <c r="CN5" i="4"/>
  <c r="CR5" i="4"/>
  <c r="CV5" i="4"/>
  <c r="CZ5" i="4"/>
  <c r="DD5" i="4"/>
  <c r="DH5" i="4"/>
  <c r="DL5" i="4"/>
  <c r="DP5" i="4"/>
  <c r="DT5" i="4"/>
  <c r="DX5" i="4"/>
  <c r="EB5" i="4"/>
  <c r="EF5" i="4"/>
  <c r="EJ5" i="4"/>
  <c r="EN5" i="4"/>
  <c r="ER5" i="4"/>
  <c r="EV5" i="4"/>
  <c r="EZ5" i="4"/>
  <c r="FD5" i="4"/>
  <c r="FH5" i="4"/>
  <c r="FL5" i="4"/>
  <c r="FP5" i="4"/>
  <c r="FT5" i="4"/>
  <c r="FX5" i="4"/>
  <c r="GB5" i="4"/>
  <c r="GF5" i="4"/>
  <c r="GJ5" i="4"/>
  <c r="GN5" i="4"/>
  <c r="GR5" i="4"/>
  <c r="GV5" i="4"/>
  <c r="GS5" i="4"/>
  <c r="AE5" i="4"/>
  <c r="AU5" i="4"/>
  <c r="BG5" i="4"/>
  <c r="BO5" i="4"/>
  <c r="BW5" i="4"/>
  <c r="CM5" i="4"/>
  <c r="CY5" i="4"/>
  <c r="DG5" i="4"/>
  <c r="DW5" i="4"/>
  <c r="EE5" i="4"/>
  <c r="EQ5" i="4"/>
  <c r="FG5" i="4"/>
  <c r="FS5" i="4"/>
  <c r="GA5" i="4"/>
  <c r="GQ5" i="4"/>
  <c r="Y5" i="4"/>
  <c r="AC5" i="4"/>
  <c r="AG5" i="4"/>
  <c r="AK5" i="4"/>
  <c r="AO5" i="4"/>
  <c r="AS5" i="4"/>
  <c r="AW5" i="4"/>
  <c r="BA5" i="4"/>
  <c r="BE5" i="4"/>
  <c r="BI5" i="4"/>
  <c r="BM5" i="4"/>
  <c r="BQ5" i="4"/>
  <c r="BU5" i="4"/>
  <c r="BY5" i="4"/>
  <c r="CC5" i="4"/>
  <c r="CG5" i="4"/>
  <c r="CK5" i="4"/>
  <c r="CO5" i="4"/>
  <c r="CS5" i="4"/>
  <c r="CW5" i="4"/>
  <c r="DA5" i="4"/>
  <c r="DE5" i="4"/>
  <c r="DI5" i="4"/>
  <c r="DM5" i="4"/>
  <c r="DQ5" i="4"/>
  <c r="DU5" i="4"/>
  <c r="DY5" i="4"/>
  <c r="EC5" i="4"/>
  <c r="EG5" i="4"/>
  <c r="EK5" i="4"/>
  <c r="EO5" i="4"/>
  <c r="ES5" i="4"/>
  <c r="EW5" i="4"/>
  <c r="FA5" i="4"/>
  <c r="FE5" i="4"/>
  <c r="FI5" i="4"/>
  <c r="FM5" i="4"/>
  <c r="FQ5" i="4"/>
  <c r="FU5" i="4"/>
  <c r="FY5" i="4"/>
  <c r="GC5" i="4"/>
  <c r="GG5" i="4"/>
  <c r="GK5" i="4"/>
  <c r="GO5" i="4"/>
  <c r="GW5" i="4"/>
  <c r="AM5" i="4"/>
  <c r="BC5" i="4"/>
  <c r="BS5" i="4"/>
  <c r="CE5" i="4"/>
  <c r="CQ5" i="4"/>
  <c r="DC5" i="4"/>
  <c r="DO5" i="4"/>
  <c r="EA5" i="4"/>
  <c r="EM5" i="4"/>
  <c r="EY5" i="4"/>
  <c r="FK5" i="4"/>
  <c r="FW5" i="4"/>
  <c r="GI5" i="4"/>
  <c r="GU5" i="4"/>
  <c r="Z5" i="4"/>
  <c r="AD5" i="4"/>
  <c r="AH5" i="4"/>
  <c r="AL5" i="4"/>
  <c r="AP5" i="4"/>
  <c r="AT5" i="4"/>
  <c r="AX5" i="4"/>
  <c r="BB5" i="4"/>
  <c r="BF5" i="4"/>
  <c r="BJ5" i="4"/>
  <c r="BN5" i="4"/>
  <c r="BR5" i="4"/>
  <c r="BV5" i="4"/>
  <c r="BZ5" i="4"/>
  <c r="CD5" i="4"/>
  <c r="CH5" i="4"/>
  <c r="CL5" i="4"/>
  <c r="CP5" i="4"/>
  <c r="CT5" i="4"/>
  <c r="CX5" i="4"/>
  <c r="DB5" i="4"/>
  <c r="DF5" i="4"/>
  <c r="DJ5" i="4"/>
  <c r="DN5" i="4"/>
  <c r="DR5" i="4"/>
  <c r="DV5" i="4"/>
  <c r="DZ5" i="4"/>
  <c r="ED5" i="4"/>
  <c r="EH5" i="4"/>
  <c r="EL5" i="4"/>
  <c r="EP5" i="4"/>
  <c r="ET5" i="4"/>
  <c r="EX5" i="4"/>
  <c r="FB5" i="4"/>
  <c r="FF5" i="4"/>
  <c r="FJ5" i="4"/>
  <c r="FN5" i="4"/>
  <c r="FR5" i="4"/>
  <c r="FV5" i="4"/>
  <c r="FZ5" i="4"/>
  <c r="GD5" i="4"/>
  <c r="GH5" i="4"/>
  <c r="GL5" i="4"/>
  <c r="GP5" i="4"/>
  <c r="GT5" i="4"/>
  <c r="AA5" i="4"/>
  <c r="AI5" i="4"/>
  <c r="AQ5" i="4"/>
  <c r="AY5" i="4"/>
  <c r="BK5" i="4"/>
  <c r="CA5" i="4"/>
  <c r="CI5" i="4"/>
  <c r="CU5" i="4"/>
  <c r="DK5" i="4"/>
  <c r="DS5" i="4"/>
  <c r="EI5" i="4"/>
  <c r="EU5" i="4"/>
  <c r="FC5" i="4"/>
  <c r="FO5" i="4"/>
  <c r="GE5" i="4"/>
  <c r="GM5" i="4"/>
  <c r="GN28" i="4"/>
  <c r="AL28" i="4"/>
  <c r="AL60" i="4" s="1"/>
  <c r="CN38" i="4"/>
  <c r="BO28" i="4"/>
  <c r="CO28" i="4" s="1"/>
  <c r="CL28" i="4"/>
  <c r="CM28" i="4"/>
  <c r="P137" i="5"/>
  <c r="O134" i="5"/>
  <c r="G134" i="5"/>
  <c r="K134" i="5"/>
  <c r="I134" i="5"/>
  <c r="N134" i="5"/>
  <c r="L134" i="5"/>
  <c r="V17" i="1"/>
  <c r="V29" i="1"/>
  <c r="V13" i="1"/>
  <c r="V19" i="1"/>
  <c r="V15" i="1"/>
  <c r="V16" i="1"/>
  <c r="S16" i="1" s="1"/>
  <c r="U16" i="1" s="1"/>
  <c r="V25" i="1"/>
  <c r="V27" i="1"/>
  <c r="V11" i="1"/>
  <c r="V36" i="1"/>
  <c r="V32" i="1"/>
  <c r="S32" i="1" s="1"/>
  <c r="U32" i="1" s="1"/>
  <c r="V24" i="1"/>
  <c r="V37" i="1"/>
  <c r="V21" i="1"/>
  <c r="S21" i="1" s="1"/>
  <c r="U21" i="1" s="1"/>
  <c r="V18" i="1"/>
  <c r="S18" i="1" s="1"/>
  <c r="U18" i="1" s="1"/>
  <c r="V14" i="1"/>
  <c r="V30" i="1"/>
  <c r="V38" i="1"/>
  <c r="V34" i="1"/>
  <c r="S34" i="1" s="1"/>
  <c r="U34" i="1" s="1"/>
  <c r="V26" i="1"/>
  <c r="V22" i="1"/>
  <c r="V12" i="1"/>
  <c r="S12" i="1" s="1"/>
  <c r="U12" i="1" s="1"/>
  <c r="V10" i="1"/>
  <c r="S10" i="1" s="1"/>
  <c r="U10" i="1" s="1"/>
  <c r="V40" i="1"/>
  <c r="V20" i="1"/>
  <c r="V35" i="1"/>
  <c r="S35" i="1" s="1"/>
  <c r="U35" i="1" s="1"/>
  <c r="V33" i="1"/>
  <c r="V31" i="1"/>
  <c r="V28" i="1"/>
  <c r="V23" i="1"/>
  <c r="S23" i="1" s="1"/>
  <c r="U23" i="1" s="1"/>
  <c r="V39" i="1"/>
  <c r="S39" i="1" s="1"/>
  <c r="U39" i="1" s="1"/>
  <c r="BP28" i="4"/>
  <c r="CP28" i="4" s="1"/>
  <c r="S19" i="1"/>
  <c r="U19" i="1" s="1"/>
  <c r="S31" i="1"/>
  <c r="U31" i="1" s="1"/>
  <c r="S40" i="1"/>
  <c r="U40" i="1" s="1"/>
  <c r="S24" i="1"/>
  <c r="U24" i="1" s="1"/>
  <c r="S15" i="1"/>
  <c r="U15" i="1" s="1"/>
  <c r="S27" i="1"/>
  <c r="U27" i="1" s="1"/>
  <c r="S11" i="1"/>
  <c r="U11" i="1" s="1"/>
  <c r="S36" i="1"/>
  <c r="U36" i="1" s="1"/>
  <c r="S28" i="1"/>
  <c r="U28" i="1" s="1"/>
  <c r="S20" i="1"/>
  <c r="U20" i="1" s="1"/>
  <c r="M5" i="4"/>
  <c r="I5" i="4"/>
  <c r="E5" i="4"/>
  <c r="Q5" i="4"/>
  <c r="A5" i="4"/>
  <c r="S37" i="1"/>
  <c r="U37" i="1" s="1"/>
  <c r="S25" i="1"/>
  <c r="U25" i="1" s="1"/>
  <c r="S14" i="1"/>
  <c r="U14" i="1" s="1"/>
  <c r="S30" i="1"/>
  <c r="U30" i="1" s="1"/>
  <c r="S26" i="1"/>
  <c r="U26" i="1" s="1"/>
  <c r="S22" i="1"/>
  <c r="U22" i="1" s="1"/>
  <c r="U5" i="4"/>
  <c r="N5" i="4"/>
  <c r="H5" i="4"/>
  <c r="C5" i="4"/>
  <c r="P5" i="4"/>
  <c r="K5" i="4"/>
  <c r="F5" i="4"/>
  <c r="O5" i="4"/>
  <c r="D5" i="4"/>
  <c r="L5" i="4"/>
  <c r="B5" i="4"/>
  <c r="V5" i="4"/>
  <c r="J5" i="4"/>
  <c r="T5" i="4"/>
  <c r="G5" i="4"/>
  <c r="S33" i="1"/>
  <c r="U33" i="1" s="1"/>
  <c r="S17" i="1"/>
  <c r="U17" i="1" s="1"/>
  <c r="S38" i="1"/>
  <c r="U38" i="1" s="1"/>
  <c r="S29" i="1"/>
  <c r="U29" i="1" s="1"/>
  <c r="S13" i="1"/>
  <c r="U13" i="1" s="1"/>
  <c r="W13" i="7"/>
  <c r="V7" i="7"/>
  <c r="AA7" i="7"/>
  <c r="X25" i="7"/>
  <c r="AB13" i="7"/>
  <c r="Y13" i="7"/>
  <c r="AC25" i="7"/>
  <c r="AB19" i="7"/>
  <c r="Y19" i="7"/>
  <c r="T13" i="7"/>
  <c r="AA19" i="7"/>
  <c r="U7" i="7"/>
  <c r="Z13" i="7"/>
  <c r="AD7" i="7"/>
  <c r="X7" i="7"/>
  <c r="Z25" i="7"/>
  <c r="U25" i="7"/>
  <c r="S7" i="7"/>
  <c r="T19" i="7"/>
  <c r="Z7" i="7"/>
  <c r="S19" i="7"/>
  <c r="Z19" i="7"/>
  <c r="S25" i="7"/>
  <c r="R25" i="7"/>
  <c r="AD13" i="7"/>
  <c r="AC7" i="7"/>
  <c r="U19" i="7"/>
  <c r="AA25" i="7"/>
  <c r="V25" i="7"/>
  <c r="T7" i="7"/>
  <c r="V13" i="7"/>
  <c r="X19" i="7"/>
  <c r="Y7" i="7"/>
  <c r="Y25" i="7"/>
  <c r="W25" i="7"/>
  <c r="S13" i="7"/>
  <c r="W7" i="7"/>
  <c r="AB25" i="7"/>
  <c r="V15" i="7"/>
  <c r="T25" i="7"/>
  <c r="AC19" i="7"/>
  <c r="X13" i="7"/>
  <c r="AD25" i="7"/>
  <c r="U13" i="7"/>
  <c r="R19" i="7"/>
  <c r="AA13" i="7"/>
  <c r="AB7" i="7"/>
  <c r="AD19" i="7"/>
  <c r="V19" i="7"/>
  <c r="R13" i="7"/>
  <c r="W19" i="7"/>
  <c r="AC13" i="7"/>
  <c r="H97" i="4" l="1"/>
  <c r="H181" i="4"/>
  <c r="H152" i="4"/>
  <c r="H154" i="4" s="1"/>
  <c r="A30" i="7"/>
  <c r="L122" i="5"/>
  <c r="M115" i="5" s="1"/>
  <c r="M122" i="5" s="1"/>
  <c r="N115" i="5" s="1"/>
  <c r="N122" i="5" s="1"/>
  <c r="O115" i="5" s="1"/>
  <c r="GN38" i="4"/>
  <c r="H96" i="4" s="1"/>
  <c r="GP28" i="4"/>
  <c r="AN28" i="4"/>
  <c r="AN60" i="4" s="1"/>
  <c r="CO38" i="4"/>
  <c r="GM28" i="4"/>
  <c r="GM38" i="4" s="1"/>
  <c r="G96" i="4" s="1"/>
  <c r="CM38" i="4"/>
  <c r="AK28" i="4"/>
  <c r="GO28" i="4"/>
  <c r="AM28" i="4"/>
  <c r="AM60" i="4" s="1"/>
  <c r="GL28" i="4"/>
  <c r="GL38" i="4" s="1"/>
  <c r="F96" i="4" s="1"/>
  <c r="CL38" i="4"/>
  <c r="AJ28" i="4"/>
  <c r="BQ28" i="4"/>
  <c r="G97" i="4" l="1"/>
  <c r="G152" i="4"/>
  <c r="G154" i="4" s="1"/>
  <c r="G181" i="4"/>
  <c r="F97" i="4"/>
  <c r="F98" i="4" s="1"/>
  <c r="F181" i="4"/>
  <c r="F182" i="4" s="1"/>
  <c r="I97" i="4"/>
  <c r="I152" i="4"/>
  <c r="I154" i="4" s="1"/>
  <c r="I181" i="4"/>
  <c r="G98" i="4"/>
  <c r="G102" i="4"/>
  <c r="H98" i="4"/>
  <c r="H102" i="4"/>
  <c r="F102" i="4"/>
  <c r="AK38" i="4"/>
  <c r="AK60" i="4"/>
  <c r="AK70" i="4" s="1"/>
  <c r="G85" i="4" s="1"/>
  <c r="AL38" i="4"/>
  <c r="AL70" i="4"/>
  <c r="H85" i="4" s="1"/>
  <c r="AJ38" i="4"/>
  <c r="AJ60" i="4"/>
  <c r="AJ70" i="4" s="1"/>
  <c r="F85" i="4" s="1"/>
  <c r="G76" i="4"/>
  <c r="G81" i="4" s="1"/>
  <c r="F152" i="4"/>
  <c r="F154" i="4" s="1"/>
  <c r="H76" i="4"/>
  <c r="H81" i="4" s="1"/>
  <c r="CQ28" i="4"/>
  <c r="CR28" i="4"/>
  <c r="F76" i="4"/>
  <c r="F81" i="4" s="1"/>
  <c r="GO38" i="4"/>
  <c r="I96" i="4" s="1"/>
  <c r="O122" i="5"/>
  <c r="P115" i="5" s="1"/>
  <c r="P122" i="5" s="1"/>
  <c r="R24" i="7"/>
  <c r="W18" i="7"/>
  <c r="U4" i="3"/>
  <c r="V21" i="7"/>
  <c r="AC5" i="7"/>
  <c r="J24" i="3"/>
  <c r="X21" i="7"/>
  <c r="AB23" i="7"/>
  <c r="T1" i="3"/>
  <c r="Y23" i="7"/>
  <c r="Y3" i="3"/>
  <c r="W6" i="3"/>
  <c r="Z24" i="7"/>
  <c r="X6" i="7"/>
  <c r="W24" i="7"/>
  <c r="R5" i="7"/>
  <c r="V6" i="7"/>
  <c r="X23" i="7"/>
  <c r="AE4" i="3"/>
  <c r="Z5" i="7"/>
  <c r="AC6" i="3"/>
  <c r="V23" i="7"/>
  <c r="N5" i="3"/>
  <c r="V12" i="7"/>
  <c r="Y24" i="7"/>
  <c r="Y11" i="7"/>
  <c r="S23" i="7"/>
  <c r="X4" i="3"/>
  <c r="Z11" i="7"/>
  <c r="T24" i="7"/>
  <c r="Z17" i="7"/>
  <c r="AE5" i="3"/>
  <c r="S7" i="3"/>
  <c r="AA18" i="7"/>
  <c r="W23" i="7"/>
  <c r="U6" i="7"/>
  <c r="AC5" i="3"/>
  <c r="W6" i="7"/>
  <c r="S24" i="7"/>
  <c r="X3" i="3"/>
  <c r="AE6" i="3"/>
  <c r="W5" i="3"/>
  <c r="AB11" i="7"/>
  <c r="AA4" i="3"/>
  <c r="V24" i="7"/>
  <c r="S11" i="7"/>
  <c r="AB4" i="3"/>
  <c r="V3" i="3"/>
  <c r="AA24" i="7"/>
  <c r="AD3" i="3"/>
  <c r="T7" i="3"/>
  <c r="V7" i="3"/>
  <c r="T3" i="3"/>
  <c r="AD5" i="3"/>
  <c r="T5" i="7"/>
  <c r="R11" i="7"/>
  <c r="S18" i="7"/>
  <c r="S4" i="3"/>
  <c r="T11" i="7"/>
  <c r="AD4" i="3"/>
  <c r="AC6" i="7"/>
  <c r="U6" i="3"/>
  <c r="AB3" i="3"/>
  <c r="S12" i="7"/>
  <c r="X12" i="7"/>
  <c r="S17" i="7"/>
  <c r="AC4" i="3"/>
  <c r="AA23" i="7"/>
  <c r="X15" i="7"/>
  <c r="R15" i="7"/>
  <c r="J10" i="3"/>
  <c r="R23" i="7"/>
  <c r="Y18" i="7"/>
  <c r="T12" i="7"/>
  <c r="V4" i="3"/>
  <c r="U24" i="7"/>
  <c r="AD6" i="7"/>
  <c r="V11" i="7"/>
  <c r="T17" i="7"/>
  <c r="V18" i="7"/>
  <c r="T4" i="3"/>
  <c r="X9" i="7"/>
  <c r="AD6" i="3"/>
  <c r="U7" i="3"/>
  <c r="Y7" i="3"/>
  <c r="Z6" i="7"/>
  <c r="T6" i="3"/>
  <c r="Z9" i="7"/>
  <c r="AD23" i="7"/>
  <c r="AD12" i="7"/>
  <c r="X6" i="3"/>
  <c r="Y4" i="3"/>
  <c r="AA6" i="7"/>
  <c r="AB18" i="7"/>
  <c r="T18" i="7"/>
  <c r="AB21" i="7"/>
  <c r="R6" i="7"/>
  <c r="X3" i="7"/>
  <c r="Z15" i="7"/>
  <c r="V9" i="7"/>
  <c r="R12" i="7"/>
  <c r="AC7" i="3"/>
  <c r="AA3" i="3"/>
  <c r="AC12" i="7"/>
  <c r="AC23" i="7"/>
  <c r="AB5" i="3"/>
  <c r="AD5" i="7"/>
  <c r="AD7" i="3"/>
  <c r="AA5" i="7"/>
  <c r="S1" i="3"/>
  <c r="U23" i="7"/>
  <c r="W3" i="3"/>
  <c r="R18" i="7"/>
  <c r="AA11" i="7"/>
  <c r="R9" i="7"/>
  <c r="Y12" i="7"/>
  <c r="Z6" i="3"/>
  <c r="W5" i="7"/>
  <c r="AB15" i="7"/>
  <c r="U11" i="7"/>
  <c r="AB17" i="7"/>
  <c r="X7" i="3"/>
  <c r="U5" i="7"/>
  <c r="AB12" i="7"/>
  <c r="AB24" i="7"/>
  <c r="X24" i="7"/>
  <c r="AA12" i="7"/>
  <c r="U5" i="3"/>
  <c r="AA17" i="7"/>
  <c r="AB6" i="3"/>
  <c r="X5" i="7"/>
  <c r="AA5" i="3"/>
  <c r="AD17" i="7"/>
  <c r="AE3" i="3"/>
  <c r="U12" i="7"/>
  <c r="T3" i="7"/>
  <c r="X11" i="7"/>
  <c r="AB5" i="7"/>
  <c r="I24" i="3"/>
  <c r="S6" i="7"/>
  <c r="Y17" i="7"/>
  <c r="V5" i="7"/>
  <c r="AC18" i="7"/>
  <c r="AC24" i="7"/>
  <c r="Y5" i="3"/>
  <c r="Z3" i="3"/>
  <c r="AB6" i="7"/>
  <c r="W4" i="3"/>
  <c r="R21" i="7"/>
  <c r="W11" i="7"/>
  <c r="Y5" i="7"/>
  <c r="AC17" i="7"/>
  <c r="AA6" i="3"/>
  <c r="Y6" i="3"/>
  <c r="Z21" i="7"/>
  <c r="T21" i="7"/>
  <c r="S3" i="3"/>
  <c r="V17" i="7"/>
  <c r="T23" i="7"/>
  <c r="AB9" i="7"/>
  <c r="R3" i="7"/>
  <c r="AC3" i="3"/>
  <c r="AA7" i="3"/>
  <c r="AC11" i="7"/>
  <c r="W17" i="7"/>
  <c r="Z3" i="7"/>
  <c r="T15" i="7"/>
  <c r="W12" i="7"/>
  <c r="S5" i="7"/>
  <c r="Z18" i="7"/>
  <c r="AD18" i="7"/>
  <c r="V3" i="7"/>
  <c r="AB7" i="3"/>
  <c r="R17" i="7"/>
  <c r="V5" i="3"/>
  <c r="T9" i="7"/>
  <c r="AE7" i="3"/>
  <c r="X5" i="3"/>
  <c r="T5" i="3"/>
  <c r="Z4" i="3"/>
  <c r="AD24" i="7"/>
  <c r="P8" i="3"/>
  <c r="W7" i="3"/>
  <c r="Z23" i="7"/>
  <c r="I23" i="3"/>
  <c r="Z5" i="3"/>
  <c r="X17" i="7"/>
  <c r="U17" i="7"/>
  <c r="Z7" i="3"/>
  <c r="AD11" i="7"/>
  <c r="Y6" i="7"/>
  <c r="AB3" i="7"/>
  <c r="U18" i="7"/>
  <c r="V6" i="3"/>
  <c r="T6" i="7"/>
  <c r="X18" i="7"/>
  <c r="U3" i="3"/>
  <c r="Z12" i="7"/>
  <c r="G182" i="4" l="1"/>
  <c r="E182" i="4"/>
  <c r="I98" i="4"/>
  <c r="I102" i="4"/>
  <c r="K8" i="7"/>
  <c r="H10" i="7" a="1"/>
  <c r="I22" i="7" s="1"/>
  <c r="K7" i="7"/>
  <c r="K29" i="7"/>
  <c r="B32" i="7" a="1"/>
  <c r="C41" i="7" s="1"/>
  <c r="B10" i="7" a="1"/>
  <c r="B14" i="7" s="1"/>
  <c r="C29" i="7"/>
  <c r="G30" i="7"/>
  <c r="C30" i="7"/>
  <c r="I29" i="7"/>
  <c r="E8" i="7"/>
  <c r="A8" i="7"/>
  <c r="E30" i="7"/>
  <c r="I8" i="7"/>
  <c r="I30" i="7"/>
  <c r="C7" i="7"/>
  <c r="E29" i="7"/>
  <c r="G8" i="7"/>
  <c r="E7" i="7"/>
  <c r="K30" i="7"/>
  <c r="H32" i="7" a="1"/>
  <c r="H44" i="7" s="1"/>
  <c r="I7" i="7"/>
  <c r="C8" i="7"/>
  <c r="AM38" i="4"/>
  <c r="AM70" i="4"/>
  <c r="I85" i="4" s="1"/>
  <c r="G82" i="4"/>
  <c r="GR28" i="4"/>
  <c r="GR38" i="4" s="1"/>
  <c r="L96" i="4" s="1"/>
  <c r="CR38" i="4"/>
  <c r="AP28" i="4"/>
  <c r="I76" i="4"/>
  <c r="I81" i="4" s="1"/>
  <c r="CQ38" i="4"/>
  <c r="GQ28" i="4"/>
  <c r="AO28" i="4"/>
  <c r="AO60" i="4" s="1"/>
  <c r="F82" i="4"/>
  <c r="H82" i="4"/>
  <c r="K97" i="4" l="1"/>
  <c r="K181" i="4"/>
  <c r="K152" i="4"/>
  <c r="K154" i="4" s="1"/>
  <c r="L97" i="4"/>
  <c r="L181" i="4"/>
  <c r="L152" i="4"/>
  <c r="L154" i="4" s="1"/>
  <c r="L98" i="4"/>
  <c r="L102" i="4"/>
  <c r="J10" i="7"/>
  <c r="I12" i="7"/>
  <c r="I10" i="7"/>
  <c r="J12" i="7"/>
  <c r="H33" i="7"/>
  <c r="J34" i="7"/>
  <c r="J35" i="7"/>
  <c r="H35" i="7"/>
  <c r="I35" i="7"/>
  <c r="H32" i="7"/>
  <c r="J32" i="7"/>
  <c r="J33" i="7"/>
  <c r="H36" i="7"/>
  <c r="I32" i="7"/>
  <c r="H34" i="7"/>
  <c r="I34" i="7"/>
  <c r="I33" i="7"/>
  <c r="C33" i="7"/>
  <c r="I36" i="7"/>
  <c r="J18" i="7"/>
  <c r="I14" i="7"/>
  <c r="J17" i="7"/>
  <c r="I17" i="7"/>
  <c r="I19" i="7"/>
  <c r="J13" i="7"/>
  <c r="I13" i="7"/>
  <c r="H17" i="7"/>
  <c r="J11" i="7"/>
  <c r="H11" i="7"/>
  <c r="H12" i="7"/>
  <c r="I15" i="7"/>
  <c r="H10" i="7"/>
  <c r="H21" i="7"/>
  <c r="J21" i="7"/>
  <c r="J15" i="7"/>
  <c r="H20" i="7"/>
  <c r="J20" i="7"/>
  <c r="H14" i="7"/>
  <c r="H19" i="7"/>
  <c r="I16" i="7"/>
  <c r="H16" i="7"/>
  <c r="I18" i="7"/>
  <c r="H13" i="7"/>
  <c r="H15" i="7"/>
  <c r="J14" i="7"/>
  <c r="H18" i="7"/>
  <c r="I11" i="7"/>
  <c r="J19" i="7"/>
  <c r="I20" i="7"/>
  <c r="I21" i="7"/>
  <c r="J16" i="7"/>
  <c r="B32" i="7"/>
  <c r="C32" i="7"/>
  <c r="D36" i="7"/>
  <c r="B33" i="7"/>
  <c r="C38" i="7"/>
  <c r="D37" i="7"/>
  <c r="D38" i="7"/>
  <c r="B41" i="7"/>
  <c r="B39" i="7"/>
  <c r="C39" i="7"/>
  <c r="D33" i="7"/>
  <c r="C37" i="7"/>
  <c r="D40" i="7"/>
  <c r="B37" i="7"/>
  <c r="C35" i="7"/>
  <c r="C36" i="7"/>
  <c r="D39" i="7"/>
  <c r="B38" i="7"/>
  <c r="B36" i="7"/>
  <c r="C34" i="7"/>
  <c r="D32" i="7"/>
  <c r="B35" i="7"/>
  <c r="D35" i="7"/>
  <c r="B34" i="7"/>
  <c r="D34" i="7"/>
  <c r="J22" i="7"/>
  <c r="H22" i="7"/>
  <c r="B40" i="7"/>
  <c r="H37" i="7"/>
  <c r="I38" i="7"/>
  <c r="I41" i="7"/>
  <c r="H41" i="7"/>
  <c r="J37" i="7"/>
  <c r="I40" i="7"/>
  <c r="H40" i="7"/>
  <c r="J39" i="7"/>
  <c r="J36" i="7"/>
  <c r="I37" i="7"/>
  <c r="J40" i="7"/>
  <c r="I39" i="7"/>
  <c r="H39" i="7"/>
  <c r="H38" i="7"/>
  <c r="J38" i="7"/>
  <c r="C42" i="7"/>
  <c r="D44" i="7"/>
  <c r="C40" i="7"/>
  <c r="B43" i="7"/>
  <c r="D41" i="7"/>
  <c r="D43" i="7"/>
  <c r="C43" i="7"/>
  <c r="B44" i="7"/>
  <c r="B42" i="7"/>
  <c r="D42" i="7"/>
  <c r="C44" i="7"/>
  <c r="J41" i="7"/>
  <c r="I42" i="7"/>
  <c r="H42" i="7"/>
  <c r="J42" i="7"/>
  <c r="J43" i="7"/>
  <c r="I43" i="7"/>
  <c r="I44" i="7"/>
  <c r="H43" i="7"/>
  <c r="J44" i="7"/>
  <c r="C20" i="7"/>
  <c r="B11" i="7"/>
  <c r="B16" i="7"/>
  <c r="B21" i="7"/>
  <c r="D15" i="7"/>
  <c r="C10" i="7"/>
  <c r="C12" i="7"/>
  <c r="B12" i="7"/>
  <c r="B18" i="7"/>
  <c r="D12" i="7"/>
  <c r="B19" i="7"/>
  <c r="C13" i="7"/>
  <c r="C14" i="7"/>
  <c r="C21" i="7"/>
  <c r="B22" i="7"/>
  <c r="C11" i="7"/>
  <c r="B20" i="7"/>
  <c r="B13" i="7"/>
  <c r="D20" i="7"/>
  <c r="B10" i="7"/>
  <c r="D22" i="7"/>
  <c r="D19" i="7"/>
  <c r="D21" i="7"/>
  <c r="D16" i="7"/>
  <c r="C16" i="7"/>
  <c r="D10" i="7"/>
  <c r="C18" i="7"/>
  <c r="D17" i="7"/>
  <c r="D18" i="7"/>
  <c r="C15" i="7"/>
  <c r="D13" i="7"/>
  <c r="C17" i="7"/>
  <c r="C22" i="7"/>
  <c r="B17" i="7"/>
  <c r="D11" i="7"/>
  <c r="B15" i="7"/>
  <c r="D14" i="7"/>
  <c r="C19" i="7"/>
  <c r="AP38" i="4"/>
  <c r="AP60" i="4"/>
  <c r="AP70" i="4" s="1"/>
  <c r="L85" i="4" s="1"/>
  <c r="L76" i="4"/>
  <c r="L81" i="4" s="1"/>
  <c r="GQ38" i="4"/>
  <c r="K96" i="4" s="1"/>
  <c r="I82" i="4"/>
  <c r="GP38" i="4"/>
  <c r="J96" i="4" s="1"/>
  <c r="CP38" i="4"/>
  <c r="J97" i="4" l="1"/>
  <c r="J152" i="4"/>
  <c r="J154" i="4" s="1"/>
  <c r="J181" i="4"/>
  <c r="E181" i="4" s="1"/>
  <c r="J98" i="4"/>
  <c r="J102" i="4"/>
  <c r="K98" i="4"/>
  <c r="K102" i="4"/>
  <c r="AN38" i="4"/>
  <c r="AN70" i="4"/>
  <c r="J85" i="4" s="1"/>
  <c r="AO38" i="4"/>
  <c r="AO70" i="4"/>
  <c r="K85" i="4" s="1"/>
  <c r="K76" i="4"/>
  <c r="K81" i="4" s="1"/>
  <c r="L82" i="4"/>
  <c r="J76" i="4"/>
  <c r="J81" i="4" s="1"/>
  <c r="E102" i="4" l="1"/>
  <c r="E85" i="4"/>
  <c r="E96" i="4"/>
  <c r="J82" i="4"/>
  <c r="E97" i="4"/>
  <c r="K82" i="4"/>
  <c r="D12" i="3"/>
  <c r="F12" i="3"/>
  <c r="J17" i="3"/>
  <c r="J6" i="3"/>
  <c r="H13" i="3"/>
  <c r="J7" i="3"/>
  <c r="D13" i="3"/>
  <c r="B22" i="3"/>
  <c r="F13" i="3"/>
  <c r="C9" i="3"/>
  <c r="D11" i="3"/>
  <c r="F11" i="3"/>
  <c r="H9" i="3"/>
  <c r="E98" i="4" l="1"/>
  <c r="B24" i="3"/>
  <c r="F24" i="3"/>
  <c r="J23" i="3"/>
  <c r="H12" i="3"/>
  <c r="H11" i="3"/>
  <c r="J11" i="3"/>
  <c r="J12" i="3"/>
  <c r="J13" i="3" l="1"/>
  <c r="P9" i="3" l="1"/>
  <c r="K23" i="3" s="1"/>
  <c r="K24" i="3"/>
  <c r="AK1" i="3"/>
  <c r="AJ8" i="3" s="1"/>
  <c r="AK8" i="3" s="1"/>
  <c r="AT9" i="3" s="1"/>
  <c r="AS9" i="3" l="1"/>
  <c r="AS12" i="3" s="1"/>
  <c r="AO9" i="3"/>
  <c r="AO10" i="3" s="1"/>
  <c r="AU9" i="3"/>
  <c r="AU11" i="3" s="1"/>
  <c r="AR9" i="3"/>
  <c r="AR10" i="3" s="1"/>
  <c r="AN9" i="3"/>
  <c r="AN11" i="3" s="1"/>
  <c r="AL9" i="3"/>
  <c r="AL10" i="3" s="1"/>
  <c r="AQ9" i="3"/>
  <c r="AV9" i="3"/>
  <c r="AV12" i="3" s="1"/>
  <c r="AM9" i="3"/>
  <c r="AM12" i="3" s="1"/>
  <c r="AP9" i="3"/>
  <c r="AP12" i="3" s="1"/>
  <c r="AW9" i="3"/>
  <c r="AW11" i="3" s="1"/>
  <c r="AT11" i="3" l="1"/>
  <c r="AL11" i="3"/>
  <c r="AQ11" i="3"/>
  <c r="AO11" i="3"/>
  <c r="AP10" i="3"/>
  <c r="AO12" i="3"/>
  <c r="AL12" i="3"/>
  <c r="AM11" i="3"/>
  <c r="AQ10" i="3"/>
  <c r="AQ12" i="3" s="1"/>
  <c r="AU12" i="3"/>
  <c r="AU10" i="3"/>
  <c r="AS11" i="3"/>
  <c r="AP11" i="3"/>
  <c r="AN10" i="3"/>
  <c r="AN12" i="3" s="1"/>
  <c r="AM10" i="3"/>
  <c r="AR11" i="3"/>
  <c r="AV10" i="3"/>
  <c r="AW10" i="3"/>
  <c r="AR12" i="3"/>
  <c r="AT10" i="3"/>
  <c r="AT12" i="3" s="1"/>
  <c r="AV11" i="3"/>
  <c r="AS10" i="3"/>
  <c r="AK13" i="3" l="1"/>
  <c r="AK2" i="3" s="1"/>
  <c r="AK3" i="3" l="1"/>
  <c r="C14" i="3" s="1"/>
</calcChain>
</file>

<file path=xl/sharedStrings.xml><?xml version="1.0" encoding="utf-8"?>
<sst xmlns="http://schemas.openxmlformats.org/spreadsheetml/2006/main" count="3172" uniqueCount="992">
  <si>
    <t>NHÀ CHO THUÊ 10 KHIẾT</t>
  </si>
  <si>
    <t xml:space="preserve"> NHÀ CHO THUÊ 10 KHIẾT </t>
  </si>
  <si>
    <t>Cộng hòa Xã hội Chủ nghĩa Việt Nam</t>
  </si>
  <si>
    <t>STT</t>
  </si>
  <si>
    <t>Hàng</t>
  </si>
  <si>
    <t>Nội dung</t>
  </si>
  <si>
    <t>1368/23 Lê Văn Lương, ấp 2, xã Phước Kiển</t>
  </si>
  <si>
    <t>Độc lập - Tự do - Hạnh phúc</t>
  </si>
  <si>
    <t>Số hàng</t>
  </si>
  <si>
    <t>Huyện Nhà Bè, Tp. Hồ Chí Minh</t>
  </si>
  <si>
    <t>-oOo-</t>
  </si>
  <si>
    <t>Hàng cuối</t>
  </si>
  <si>
    <t>Tiền tháng trước</t>
  </si>
  <si>
    <t>ĐT: 0909.31.31.36 (a.Hải).</t>
  </si>
  <si>
    <t>Số cần đọc là:</t>
  </si>
  <si>
    <t>Tổng số phòng cho thuê</t>
  </si>
  <si>
    <t>So sánh tháng trước</t>
  </si>
  <si>
    <t>DANH SÁCH TẠM TRÚ</t>
  </si>
  <si>
    <t>Tổng số người đang tạm trú</t>
  </si>
  <si>
    <t>Bằng chữ:</t>
  </si>
  <si>
    <t>Tổng số hiện diện</t>
  </si>
  <si>
    <t>Phòng</t>
  </si>
  <si>
    <t>Họ và tên</t>
  </si>
  <si>
    <t>Nam</t>
  </si>
  <si>
    <t>Đọc thành tiền:</t>
  </si>
  <si>
    <t>Nữ</t>
  </si>
  <si>
    <t xml:space="preserve">Hộ khẩu thường trú </t>
  </si>
  <si>
    <t>CMND</t>
  </si>
  <si>
    <t>Ngày cấp</t>
  </si>
  <si>
    <t>Điện thoại</t>
  </si>
  <si>
    <t>Ngày vào</t>
  </si>
  <si>
    <t>Quan hệ</t>
  </si>
  <si>
    <t>Có</t>
  </si>
  <si>
    <t>không</t>
  </si>
  <si>
    <r>
      <rPr>
        <b/>
        <i/>
        <sz val="12"/>
        <rFont val="Times New Roman"/>
        <family val="1"/>
        <charset val="163"/>
      </rPr>
      <t>ĐT:</t>
    </r>
    <r>
      <rPr>
        <i/>
        <sz val="12"/>
        <rFont val="Times New Roman"/>
        <family val="1"/>
        <charset val="163"/>
      </rPr>
      <t xml:space="preserve"> 0909.31.31.36 (a.Hải).</t>
    </r>
  </si>
  <si>
    <t>Add</t>
  </si>
  <si>
    <t>Tên</t>
  </si>
  <si>
    <t>Hiện diện</t>
  </si>
  <si>
    <t>Tên hiện diện</t>
  </si>
  <si>
    <t>Copy - Tên</t>
  </si>
  <si>
    <t>CONCATENATE</t>
  </si>
  <si>
    <t>Sum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</si>
  <si>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</si>
  <si>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</si>
  <si>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</si>
  <si>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</si>
  <si>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</si>
  <si>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</si>
  <si>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</si>
  <si>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</si>
  <si>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</si>
  <si>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</si>
  <si>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</si>
  <si>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Số người</t>
  </si>
  <si>
    <t>PHIẾU THU</t>
  </si>
  <si>
    <t>A1</t>
  </si>
  <si>
    <t>Ngày kết toán:</t>
  </si>
  <si>
    <t>Nguyễn Phi Cường</t>
  </si>
  <si>
    <t>455/4, Nơ Trang Long, P 13, quận Bình Thạnh, TP.HCM</t>
  </si>
  <si>
    <t>023.614.103</t>
  </si>
  <si>
    <t>31.10.2011</t>
  </si>
  <si>
    <t>0933.034.370</t>
  </si>
  <si>
    <t>2008.02</t>
  </si>
  <si>
    <t>Chủ</t>
  </si>
  <si>
    <t>X</t>
  </si>
  <si>
    <t>a</t>
  </si>
  <si>
    <t>Tiền cọc:</t>
  </si>
  <si>
    <t>Ghi chú</t>
  </si>
  <si>
    <t>Chưa trả</t>
  </si>
  <si>
    <t>Bảng dưới đây có thể copy sang 1 sheet để ẩn:</t>
  </si>
  <si>
    <t>Trả đủ</t>
  </si>
  <si>
    <t>Chủ phòng:</t>
  </si>
  <si>
    <t>Phòng:</t>
  </si>
  <si>
    <t>Tháng:</t>
  </si>
  <si>
    <t>Trả trước</t>
  </si>
  <si>
    <t>Nội dung:</t>
  </si>
  <si>
    <t>1. Thuê nhà:</t>
  </si>
  <si>
    <t>2. Điện (kW)</t>
  </si>
  <si>
    <t>Số mới:</t>
  </si>
  <si>
    <t>Số cũ:</t>
  </si>
  <si>
    <t>Sử dụng:</t>
  </si>
  <si>
    <t>Thành tiền:</t>
  </si>
  <si>
    <r>
      <t>3. Nước (m</t>
    </r>
    <r>
      <rPr>
        <vertAlign val="superscript"/>
        <sz val="13"/>
        <color rgb="FF4F81BD"/>
        <rFont val="Times New Roman"/>
        <family val="1"/>
        <charset val="163"/>
      </rPr>
      <t>3</t>
    </r>
    <r>
      <rPr>
        <sz val="13"/>
        <color rgb="FF4F81BD"/>
        <rFont val="Times New Roman"/>
        <family val="1"/>
        <charset val="163"/>
      </rPr>
      <t>)</t>
    </r>
  </si>
  <si>
    <t>BẢNG TỔNG HỢP CHỈ SỐ ĐIỆN - NƯỚC</t>
  </si>
  <si>
    <t>4. Rác:</t>
  </si>
  <si>
    <t>Chủ nhà</t>
  </si>
  <si>
    <t>Mã số</t>
  </si>
  <si>
    <t>5. Cáp:</t>
  </si>
  <si>
    <t>Tháng</t>
  </si>
  <si>
    <t>Tháng 0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</si>
  <si>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</si>
  <si>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</si>
  <si>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</si>
  <si>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</si>
  <si>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</si>
  <si>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</si>
  <si>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</si>
  <si>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</si>
  <si>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</si>
  <si>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</si>
  <si>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</si>
  <si>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</si>
  <si>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6. Khác:</t>
  </si>
  <si>
    <t>Giá phòng</t>
  </si>
  <si>
    <t>Rác</t>
  </si>
  <si>
    <t>Cáp</t>
  </si>
  <si>
    <t>Khác</t>
  </si>
  <si>
    <t>Ngày kết</t>
  </si>
  <si>
    <t>Tiền cọc</t>
  </si>
  <si>
    <t>Giá điện</t>
  </si>
  <si>
    <t>Tổng tiền:</t>
  </si>
  <si>
    <t>Nguyễn Hồng Tươi</t>
  </si>
  <si>
    <t>ấp Hòa A, Hòa Lợi, huyện Giồng Riềng, Kiên Giang.</t>
  </si>
  <si>
    <t>371.263.596</t>
  </si>
  <si>
    <t>Vợ</t>
  </si>
  <si>
    <t>Giá T1</t>
  </si>
  <si>
    <t>Giá T2</t>
  </si>
  <si>
    <t>Giá T3</t>
  </si>
  <si>
    <t>Giá T4</t>
  </si>
  <si>
    <t>Giá T5</t>
  </si>
  <si>
    <t>Giá T6</t>
  </si>
  <si>
    <t>Giá T7</t>
  </si>
  <si>
    <t>Giá T8</t>
  </si>
  <si>
    <t>Giá T9</t>
  </si>
  <si>
    <t>Giá T10</t>
  </si>
  <si>
    <t>Giá T11</t>
  </si>
  <si>
    <t>Giá T12</t>
  </si>
  <si>
    <t>x</t>
  </si>
  <si>
    <t>Điện</t>
  </si>
  <si>
    <t>A2</t>
  </si>
  <si>
    <t>Viết bằng chữ:</t>
  </si>
  <si>
    <t>01 Tây</t>
  </si>
  <si>
    <t>Tính</t>
  </si>
  <si>
    <t>Ghi chú:</t>
  </si>
  <si>
    <t>Người nộp tiền</t>
  </si>
  <si>
    <t>Người thu tiền</t>
  </si>
  <si>
    <t>(ký, ghi rõ họ tên)</t>
  </si>
  <si>
    <t>Trần Thanh Hải</t>
  </si>
  <si>
    <t>Những người hiện diện:</t>
  </si>
  <si>
    <t>Nước</t>
  </si>
  <si>
    <t>Cao Vũ Phong</t>
  </si>
  <si>
    <t>Lương Văn Thân</t>
  </si>
  <si>
    <t>A3</t>
  </si>
  <si>
    <t>Nguyễn Bích Trân</t>
  </si>
  <si>
    <t>0</t>
  </si>
  <si>
    <t>Con</t>
  </si>
  <si>
    <t>Đỗ Thị Lệ</t>
  </si>
  <si>
    <t>A4</t>
  </si>
  <si>
    <t>Huỳnh Văn Tâm</t>
  </si>
  <si>
    <t>A5</t>
  </si>
  <si>
    <t>Đỗ Văn Nhất</t>
  </si>
  <si>
    <t>TỔNG HỢP CHỈ SỐ NƯỚC - NĂM 2019</t>
  </si>
  <si>
    <t>Ghi số ngày 07 Tây</t>
  </si>
  <si>
    <t>A6</t>
  </si>
  <si>
    <t>Thanh toán từ ngày 20 Tây</t>
  </si>
  <si>
    <t>Mã danh bộ</t>
  </si>
  <si>
    <t>1902.113.1549</t>
  </si>
  <si>
    <t>Chỉ số</t>
  </si>
  <si>
    <t>Trần Thanh Khiết</t>
  </si>
  <si>
    <t>1368/25A Lê Văn Lương</t>
  </si>
  <si>
    <t>Huỳnh Thị Thu Thúy</t>
  </si>
  <si>
    <t>Phòng B1 - Chú Sâm</t>
  </si>
  <si>
    <t>A7</t>
  </si>
  <si>
    <t>Giá TB</t>
  </si>
  <si>
    <t>1902.113.1548</t>
  </si>
  <si>
    <t>Giao
khách</t>
  </si>
  <si>
    <t>334.364.420</t>
  </si>
  <si>
    <t>14.02.2008</t>
  </si>
  <si>
    <t>097.261.4150</t>
  </si>
  <si>
    <t>2014.04</t>
  </si>
  <si>
    <t>1368/25 Lê Văn Lương</t>
  </si>
  <si>
    <t>Phòng B2 - Cô Kiều</t>
  </si>
  <si>
    <t>Nguyễn Thị Xuyến</t>
  </si>
  <si>
    <t>A8</t>
  </si>
  <si>
    <t>1902.113.6288</t>
  </si>
  <si>
    <t>702/11 Lê Văn Lương</t>
  </si>
  <si>
    <t>Trước nhà chính</t>
  </si>
  <si>
    <t>1902.113.6291</t>
  </si>
  <si>
    <t>Liễu Hoàng Phong</t>
  </si>
  <si>
    <t>A9</t>
  </si>
  <si>
    <t>702/11A Lê Văn Lương</t>
  </si>
  <si>
    <t>1902.113.1547</t>
  </si>
  <si>
    <t>Lê Thanh Loan</t>
  </si>
  <si>
    <t>1368/23/2 Lê Văn Lương</t>
  </si>
  <si>
    <t>Trước phòng B4</t>
  </si>
  <si>
    <t>1902.113.1546</t>
  </si>
  <si>
    <t>1368/23/4 Lê Văn Lương</t>
  </si>
  <si>
    <t>Nguyễn Bá Tường</t>
  </si>
  <si>
    <t>A10</t>
  </si>
  <si>
    <t>1902.113.1545</t>
  </si>
  <si>
    <t>1368/23 Lê Văn Lương</t>
  </si>
  <si>
    <t>Phòng B5 - Chị Bảo Vy</t>
  </si>
  <si>
    <t>1902.113.5973</t>
  </si>
  <si>
    <t>Nguyễn Văn Nhí</t>
  </si>
  <si>
    <t>A11</t>
  </si>
  <si>
    <t>1368/49 Lê Văn Lương</t>
  </si>
  <si>
    <t>Đầu cầu trắng</t>
  </si>
  <si>
    <t>TỔNG HỢP CHỈ SỐ ĐIỆN - NĂM 2019</t>
  </si>
  <si>
    <t>Thanh toán từ ngày 10 Tây</t>
  </si>
  <si>
    <t>Mã khách hàng</t>
  </si>
  <si>
    <t>Bùi Chí Linh</t>
  </si>
  <si>
    <t>A12</t>
  </si>
  <si>
    <t>Nguyễn Thị Thùy Trang</t>
  </si>
  <si>
    <t>PE.1100.111.6847</t>
  </si>
  <si>
    <t>Tường Ngãi, Nhơn Bình, Trà Ôn, Vĩnh Long.</t>
  </si>
  <si>
    <t>331.534.003</t>
  </si>
  <si>
    <t>27.04.2010</t>
  </si>
  <si>
    <t>034.8875.287</t>
  </si>
  <si>
    <t>Quản Bá Trường</t>
  </si>
  <si>
    <t>Sau Phòng B1 - Chú Sâm</t>
  </si>
  <si>
    <t>PE.1100.111.6849</t>
  </si>
  <si>
    <t>Võ Văn Thạnh</t>
  </si>
  <si>
    <t>Trần Thanh Vũ</t>
  </si>
  <si>
    <t>A13</t>
  </si>
  <si>
    <t>Sau nhà Hải Nhớ - máy bơm nước</t>
  </si>
  <si>
    <t>PE.1100.111.6848</t>
  </si>
  <si>
    <t>Nguyễn Trọng Quang</t>
  </si>
  <si>
    <t>Sau nhà chính</t>
  </si>
  <si>
    <t>PE.1100.111.6845</t>
  </si>
  <si>
    <t>Huỳnh Công Khanh</t>
  </si>
  <si>
    <t>A14</t>
  </si>
  <si>
    <t>Sau cửa cuốn</t>
  </si>
  <si>
    <t>PE.1100.111.6846</t>
  </si>
  <si>
    <t>Lê Đăng Hiền</t>
  </si>
  <si>
    <t>Xưởng trà</t>
  </si>
  <si>
    <t>Trần Văn Mạnh</t>
  </si>
  <si>
    <t>A15</t>
  </si>
  <si>
    <t>PE.1100.111.6843</t>
  </si>
  <si>
    <t>Lê Đăng Phúc</t>
  </si>
  <si>
    <t>Trước phòng A3</t>
  </si>
  <si>
    <t>PE.1100.111.6839</t>
  </si>
  <si>
    <t>Nguyễn Vũ Tuấn</t>
  </si>
  <si>
    <t>Trước phòng A2</t>
  </si>
  <si>
    <t>Cao Thị Thanh Tuyền</t>
  </si>
  <si>
    <t>A16</t>
  </si>
  <si>
    <t>PE.1100.108.6996</t>
  </si>
  <si>
    <t>Đỗ Trọng Lực</t>
  </si>
  <si>
    <t>Phòng B6 - Đầu dãy nhà</t>
  </si>
  <si>
    <t>PE.1100.112.1555</t>
  </si>
  <si>
    <t>Trần Công Thành</t>
  </si>
  <si>
    <t>PE.1100.108.6994</t>
  </si>
  <si>
    <t>A17</t>
  </si>
  <si>
    <t>Trước Phòng B3 - anh Thanh</t>
  </si>
  <si>
    <t>PE.1100.112.1556</t>
  </si>
  <si>
    <t>PE.1100.107.1932</t>
  </si>
  <si>
    <t>Lê Thị Gạt</t>
  </si>
  <si>
    <t>Ngô Hoàng Minh</t>
  </si>
  <si>
    <t>A18</t>
  </si>
  <si>
    <t>702/11B Lê Văn Lương</t>
  </si>
  <si>
    <t>PE.1100.112.3209</t>
  </si>
  <si>
    <t>Đồng hồ 3 pha - Trước phòng B2</t>
  </si>
  <si>
    <t>PE.1100.108.1885</t>
  </si>
  <si>
    <t>Lê Thanh Ngoan</t>
  </si>
  <si>
    <t>Nguyễn Ngọc Hồng</t>
  </si>
  <si>
    <t>A19</t>
  </si>
  <si>
    <t>Trước Phòng B1 - Chú Sâm</t>
  </si>
  <si>
    <t>PE.1100.202.3025</t>
  </si>
  <si>
    <t>Trần Văn Phước</t>
  </si>
  <si>
    <t>X1</t>
  </si>
  <si>
    <t>Nguyễn Văn Hậu</t>
  </si>
  <si>
    <t>Ấp 3, Phong Thạnh, Cầu Kè, Trà Vinh</t>
  </si>
  <si>
    <t>334.128.972</t>
  </si>
  <si>
    <t>04.06.2012</t>
  </si>
  <si>
    <t>O</t>
  </si>
  <si>
    <t>TỔNG HỢP CHỈ SỐ - ĐIỆN NƯỚC</t>
  </si>
  <si>
    <t>Khoán</t>
  </si>
  <si>
    <t>Huỳnh Thị Ái</t>
  </si>
  <si>
    <t>X2</t>
  </si>
  <si>
    <t>Phan Thanh Tuấn</t>
  </si>
  <si>
    <t>X3</t>
  </si>
  <si>
    <t>Nguyễn Thế Sâm</t>
  </si>
  <si>
    <t>B1</t>
  </si>
  <si>
    <t>Tự lo</t>
  </si>
  <si>
    <t>331.534.073</t>
  </si>
  <si>
    <t>11.06.2003</t>
  </si>
  <si>
    <t>Hồ Thị Thúy Kiều</t>
  </si>
  <si>
    <t>B2</t>
  </si>
  <si>
    <t>23 Tây</t>
  </si>
  <si>
    <t>Tiền cọc - bù đến 1 triệu</t>
  </si>
  <si>
    <t>Thu T.4</t>
  </si>
  <si>
    <t>Thu T.5</t>
  </si>
  <si>
    <t>Thu T.6</t>
  </si>
  <si>
    <t>Thu T.7</t>
  </si>
  <si>
    <t>Thu T.8</t>
  </si>
  <si>
    <t>Thu T.9</t>
  </si>
  <si>
    <t>Thu T.10</t>
  </si>
  <si>
    <t>Thu T.11</t>
  </si>
  <si>
    <t>Thu T.12</t>
  </si>
  <si>
    <t>Nguyễn Văn Thiệu</t>
  </si>
  <si>
    <t>B3</t>
  </si>
  <si>
    <t>30 Tây</t>
  </si>
  <si>
    <t>Đoàn Văn Thanh</t>
  </si>
  <si>
    <t>B4</t>
  </si>
  <si>
    <t>Cái Đường, Tân Thạnh, Long Phú, Sóc Trăng.</t>
  </si>
  <si>
    <t>365.652.293</t>
  </si>
  <si>
    <t>30.01.2012</t>
  </si>
  <si>
    <t>096.301.7502</t>
  </si>
  <si>
    <t>2017.08</t>
  </si>
  <si>
    <t>Huỳnh Thị Thanh Trang</t>
  </si>
  <si>
    <t>B5</t>
  </si>
  <si>
    <t>Dương Thị Lệ Thu</t>
  </si>
  <si>
    <t>B6</t>
  </si>
  <si>
    <t>Ngô Ngọc Bảo Vi</t>
  </si>
  <si>
    <t>B7</t>
  </si>
  <si>
    <t>16 Tây</t>
  </si>
  <si>
    <t>Đỗ Phương Thảo</t>
  </si>
  <si>
    <t>B8</t>
  </si>
  <si>
    <t>Phạm Hồng Gấm</t>
  </si>
  <si>
    <t>366.072.507</t>
  </si>
  <si>
    <t>20.07.2011</t>
  </si>
  <si>
    <t>B9</t>
  </si>
  <si>
    <t>Tổng từng tháng</t>
  </si>
  <si>
    <t>Chênh lệch</t>
  </si>
  <si>
    <t>Chi trả</t>
  </si>
  <si>
    <t>Lương Văn Nguyên</t>
  </si>
  <si>
    <t>Con trai</t>
  </si>
  <si>
    <t>Lương Thị Diệu Hiền</t>
  </si>
  <si>
    <t>2000</t>
  </si>
  <si>
    <t>366.238.910</t>
  </si>
  <si>
    <t>19.10.2018</t>
  </si>
  <si>
    <t>2019.02</t>
  </si>
  <si>
    <t>Con gái</t>
  </si>
  <si>
    <t>Ông Thành Thật</t>
  </si>
  <si>
    <t>2016</t>
  </si>
  <si>
    <t>o</t>
  </si>
  <si>
    <t>Cháu</t>
  </si>
  <si>
    <t>Phạm Thị Cẩm Loan</t>
  </si>
  <si>
    <t>Mỹ Thạnh, Tân Phước Hưng, Phụng Hiệp, Hậu Giang</t>
  </si>
  <si>
    <t>363.640.404</t>
  </si>
  <si>
    <t>03.04.2017</t>
  </si>
  <si>
    <t>Em vợ</t>
  </si>
  <si>
    <t>Trần Thị Cẩm Linh</t>
  </si>
  <si>
    <t>Con Loan</t>
  </si>
  <si>
    <t>Thu T.1</t>
  </si>
  <si>
    <t>Thu T.2</t>
  </si>
  <si>
    <t>Thu T.3</t>
  </si>
  <si>
    <t>Nguyễn Văn Quý</t>
  </si>
  <si>
    <t>Nhà Máy, Tân Phú, Thái Bình, Cà Mau</t>
  </si>
  <si>
    <t>380.905.277</t>
  </si>
  <si>
    <t>20.03.2012</t>
  </si>
  <si>
    <t>Sửa số &gt;&gt;</t>
  </si>
  <si>
    <t>Nhóm 1</t>
  </si>
  <si>
    <t>380.600.027</t>
  </si>
  <si>
    <t>25.05.2010</t>
  </si>
  <si>
    <t>0979.452.630</t>
  </si>
  <si>
    <t>Nhóm 2</t>
  </si>
  <si>
    <t>Đại diện:</t>
  </si>
  <si>
    <t>Thành tiền</t>
  </si>
  <si>
    <t>Cũ</t>
  </si>
  <si>
    <t>Nhóm 3</t>
  </si>
  <si>
    <t>T.1</t>
  </si>
  <si>
    <t>T.2</t>
  </si>
  <si>
    <t>Nguyễn Văn Quốc</t>
  </si>
  <si>
    <t>381.699.643</t>
  </si>
  <si>
    <t>17.09.2011</t>
  </si>
  <si>
    <t>T.3</t>
  </si>
  <si>
    <t>T.4</t>
  </si>
  <si>
    <t>Nhóm 4</t>
  </si>
  <si>
    <t>T.5</t>
  </si>
  <si>
    <t>T.6</t>
  </si>
  <si>
    <t>T.7</t>
  </si>
  <si>
    <t>T.8</t>
  </si>
  <si>
    <t>T.9</t>
  </si>
  <si>
    <t>T.10</t>
  </si>
  <si>
    <t>T.11</t>
  </si>
  <si>
    <t>T.12</t>
  </si>
  <si>
    <t>Lê Hồng Thắm</t>
  </si>
  <si>
    <t>Cái Keo, An Phúc, Đông Hải, Bạc Liêu</t>
  </si>
  <si>
    <t>385.775.544</t>
  </si>
  <si>
    <t>06.03.2018</t>
  </si>
  <si>
    <t>Dâu</t>
  </si>
  <si>
    <t>170/21/4/ Bến Vân Đồn, p6, q4, TP.HCM</t>
  </si>
  <si>
    <t>0907.841.432</t>
  </si>
  <si>
    <t>Nguyễn Thị Ánh</t>
  </si>
  <si>
    <t>230/5/32, tổ 11, KP2, Tân Phong, Q7, TP.HCM</t>
  </si>
  <si>
    <t>Huỳnh Thị Thảo Nguyên</t>
  </si>
  <si>
    <t>Nguyễn Văn Tài</t>
  </si>
  <si>
    <t>1985</t>
  </si>
  <si>
    <t>Rể</t>
  </si>
  <si>
    <t>Nguyễn Thị Ánh Nga</t>
  </si>
  <si>
    <t>Trương Văn Tuấn</t>
  </si>
  <si>
    <t>Ấp 22, Phong Thạnh A, TX.Giá Rai, Bạc Liêu</t>
  </si>
  <si>
    <t>385.267.768</t>
  </si>
  <si>
    <t>03.10.2017</t>
  </si>
  <si>
    <t>2017.12</t>
  </si>
  <si>
    <t>Trương Hồng Nhiên</t>
  </si>
  <si>
    <t>385.267.770</t>
  </si>
  <si>
    <t>20.12.2014</t>
  </si>
  <si>
    <t>385.207.773</t>
  </si>
  <si>
    <t>24.12.2016</t>
  </si>
  <si>
    <t>079.8302.205</t>
  </si>
  <si>
    <t>Đỗ Hữu Nhân</t>
  </si>
  <si>
    <t>385.825.647</t>
  </si>
  <si>
    <t>Đỗ Đình Khôi</t>
  </si>
  <si>
    <t>Huỳnh Văn Tân</t>
  </si>
  <si>
    <t>023.119.914</t>
  </si>
  <si>
    <t>Em</t>
  </si>
  <si>
    <t>Nguyễn Đông Trường</t>
  </si>
  <si>
    <t>Cháu ngoại</t>
  </si>
  <si>
    <t>Nguyễn Thanh Vũ</t>
  </si>
  <si>
    <t>Nguyễn Hoàng Long</t>
  </si>
  <si>
    <t>Nguyễn Văn Toàn</t>
  </si>
  <si>
    <t>Long An, Long Kiến, Chợ Mới, An Giang</t>
  </si>
  <si>
    <t>351.172.074</t>
  </si>
  <si>
    <t>06.05.2016</t>
  </si>
  <si>
    <t>2018.10</t>
  </si>
  <si>
    <t>Vĩnh Trung, Vĩnh Trạch, Thoại Sơn, An Giang</t>
  </si>
  <si>
    <t>352.179.521</t>
  </si>
  <si>
    <t>04.09.2015</t>
  </si>
  <si>
    <t>0977.171.856</t>
  </si>
  <si>
    <t>Nguyễn Văn Vẹn</t>
  </si>
  <si>
    <t>183D/15, P4, Q4, TP.HCM</t>
  </si>
  <si>
    <t>021.599.978</t>
  </si>
  <si>
    <t>20.03.2013</t>
  </si>
  <si>
    <t>0975.941.594</t>
  </si>
  <si>
    <t>2013.12</t>
  </si>
  <si>
    <t>Lê Thị Thanh Vũ</t>
  </si>
  <si>
    <t>024.175.839</t>
  </si>
  <si>
    <t>17.12.2003</t>
  </si>
  <si>
    <t>Liễu Thị Thanh Nguyên</t>
  </si>
  <si>
    <t>025.970.058</t>
  </si>
  <si>
    <t>29.12.2014</t>
  </si>
  <si>
    <t>Liễu Thị Thanh Phụng</t>
  </si>
  <si>
    <t>352.436.129</t>
  </si>
  <si>
    <t>27.08.2014</t>
  </si>
  <si>
    <t>039.2646.671</t>
  </si>
  <si>
    <t>2018-10</t>
  </si>
  <si>
    <t>Nguyễn Văn Mãng</t>
  </si>
  <si>
    <t>350.258.765</t>
  </si>
  <si>
    <t>21.04.2008</t>
  </si>
  <si>
    <t>Lê Thị Hằng</t>
  </si>
  <si>
    <t>350.259.000</t>
  </si>
  <si>
    <t>Nguyễn Văn Hoàng</t>
  </si>
  <si>
    <t>350.933.250</t>
  </si>
  <si>
    <t>24.01.2003</t>
  </si>
  <si>
    <t>351.746.590</t>
  </si>
  <si>
    <t>20.01.2003</t>
  </si>
  <si>
    <t>0906.05.7751</t>
  </si>
  <si>
    <t>Lê Thị Thúy</t>
  </si>
  <si>
    <t>Kinh Chinh, Kiến Bình, Kiên Lương, Kiên Giang</t>
  </si>
  <si>
    <t>371.714.280</t>
  </si>
  <si>
    <t>12.07.2011</t>
  </si>
  <si>
    <t>Lê Văn Quý</t>
  </si>
  <si>
    <t>Hoàng Nù, A Lập, Dầu Tiếng, Bình Dương</t>
  </si>
  <si>
    <t>281.127.579</t>
  </si>
  <si>
    <t>26.04.2012</t>
  </si>
  <si>
    <t>Nguyễn Thị Tuyết Mai</t>
  </si>
  <si>
    <t>352.332.165</t>
  </si>
  <si>
    <t>14.04.2011</t>
  </si>
  <si>
    <t>Trương Thị Lỵ</t>
  </si>
  <si>
    <t>1959</t>
  </si>
  <si>
    <t>Bưng Ràm, Hưng Điền B, Tân Hưng, Long An</t>
  </si>
  <si>
    <t>301.594.271</t>
  </si>
  <si>
    <t>07.03.2012</t>
  </si>
  <si>
    <t>01.2019</t>
  </si>
  <si>
    <t>1997</t>
  </si>
  <si>
    <t>Cầu Đỏ, Vĩnh Lộc, Hồng Dân, Bạc Liêu</t>
  </si>
  <si>
    <t>385.657.367</t>
  </si>
  <si>
    <t>31.08.2011</t>
  </si>
  <si>
    <t>0366.367.073</t>
  </si>
  <si>
    <t>Con nuôi</t>
  </si>
  <si>
    <t>Phạm Tấn Đạt</t>
  </si>
  <si>
    <t>301.705.312</t>
  </si>
  <si>
    <t>15.05.2015</t>
  </si>
  <si>
    <t>Thới Mỹ 1, Vĩnh Thới, Lai Vung, Đồng Tháp</t>
  </si>
  <si>
    <t>340.348.366</t>
  </si>
  <si>
    <t>22.09.2009</t>
  </si>
  <si>
    <t>Nguyễn Thị Nhum</t>
  </si>
  <si>
    <t>341.692.759</t>
  </si>
  <si>
    <t>23.09.2009</t>
  </si>
  <si>
    <t>090.111.4852</t>
  </si>
  <si>
    <t>Võ Tấn Đạt</t>
  </si>
  <si>
    <t>1999</t>
  </si>
  <si>
    <t>341.954.567</t>
  </si>
  <si>
    <t>03.03.2015</t>
  </si>
  <si>
    <t>Trần Văn Trường Em</t>
  </si>
  <si>
    <t>1977</t>
  </si>
  <si>
    <t>Trung Châu, Mỹ Hiệp, Chợ Mới, An Giang</t>
  </si>
  <si>
    <t>352.205.776</t>
  </si>
  <si>
    <t>03.07.2009</t>
  </si>
  <si>
    <t>Cậu</t>
  </si>
  <si>
    <t>Hồ Thị Mỹ Lai</t>
  </si>
  <si>
    <t>Thành Nhân, Thành Lợi, Bình Minh, Vĩnh Long</t>
  </si>
  <si>
    <t>331.440.408</t>
  </si>
  <si>
    <t>11.08.2015</t>
  </si>
  <si>
    <t>Mợ</t>
  </si>
  <si>
    <t>Võ Văn Tấn</t>
  </si>
  <si>
    <t>341.775.677</t>
  </si>
  <si>
    <t>07.06.2011</t>
  </si>
  <si>
    <t>Lê Văn Nhớp</t>
  </si>
  <si>
    <t>352.494.813</t>
  </si>
  <si>
    <t>18.03.2014</t>
  </si>
  <si>
    <t>An Phú Tân, Bình Minh, Tam Bình, Vĩnh Long</t>
  </si>
  <si>
    <t>331.827.853</t>
  </si>
  <si>
    <t>08.03.2016</t>
  </si>
  <si>
    <t>036.5949.319</t>
  </si>
  <si>
    <t>Nguyễn Thị Kiều Duyên</t>
  </si>
  <si>
    <t>1996</t>
  </si>
  <si>
    <t>Vĩnh Thạnh C, Vĩnh Hòa, Tân Châu, An Giang</t>
  </si>
  <si>
    <t>352.310.728</t>
  </si>
  <si>
    <t>04.03.2011</t>
  </si>
  <si>
    <t>2019.01.26</t>
  </si>
  <si>
    <t>Ấp 1, Phước Thạnh, Chân Thành, Bến Tre.</t>
  </si>
  <si>
    <t>320.777.244</t>
  </si>
  <si>
    <t>11.10.2007</t>
  </si>
  <si>
    <t>093.824.7553</t>
  </si>
  <si>
    <t>Huỳnh Thị Tuyết</t>
  </si>
  <si>
    <t>170/21/4, Bến Vân Đồn, P6, Q4, TP.HCM</t>
  </si>
  <si>
    <t>022.492.310</t>
  </si>
  <si>
    <t>01.12.2003</t>
  </si>
  <si>
    <t>093.264.9044</t>
  </si>
  <si>
    <t>Trần Huỳnh Nhật Thuận</t>
  </si>
  <si>
    <t>025.302.762</t>
  </si>
  <si>
    <t>15.06.2010</t>
  </si>
  <si>
    <t>Trần Huỳnh Nhật Hòa</t>
  </si>
  <si>
    <t>025.371.943</t>
  </si>
  <si>
    <t>22.02.2011</t>
  </si>
  <si>
    <t>Trần Huỳnh Nhựt Thảo</t>
  </si>
  <si>
    <t>025.970.692</t>
  </si>
  <si>
    <t>02.03.2015</t>
  </si>
  <si>
    <t>Phạm Thị Lý</t>
  </si>
  <si>
    <t>1995</t>
  </si>
  <si>
    <t>Đằng Trương, Yên Tiến, Ý Yên, Nam Định</t>
  </si>
  <si>
    <t>163.346.576</t>
  </si>
  <si>
    <t>17.07.2012</t>
  </si>
  <si>
    <t>2019.01.06</t>
  </si>
  <si>
    <t>Trần Thị Xuyến</t>
  </si>
  <si>
    <t>020.440.749</t>
  </si>
  <si>
    <t>21.12.2006</t>
  </si>
  <si>
    <t>Mẹ</t>
  </si>
  <si>
    <t>Chồng</t>
  </si>
  <si>
    <t>Bình Hưng, Bình Phan, Chợ Gạo, Tiền Giang</t>
  </si>
  <si>
    <t>311.833.671</t>
  </si>
  <si>
    <t>090.808.7349</t>
  </si>
  <si>
    <t>2014.12</t>
  </si>
  <si>
    <t>Tô Cao Biền</t>
  </si>
  <si>
    <t>Ấp 6, Nhơn Hòa Lập, Tân Thạnh, Long An</t>
  </si>
  <si>
    <t>300.831.980</t>
  </si>
  <si>
    <t>12.12.2003</t>
  </si>
  <si>
    <t>Lê Hoàng Quân</t>
  </si>
  <si>
    <t>Thôn Kình, Thanh Nghị, Thanh Liêm, Hà Nam</t>
  </si>
  <si>
    <t>168.194.522</t>
  </si>
  <si>
    <t>24.09.2012</t>
  </si>
  <si>
    <t>Đinh Thanh Thảo</t>
  </si>
  <si>
    <t>Nguyễn Bảo, Nhơn Hòa Lập, Tân Thạnh, Long An</t>
  </si>
  <si>
    <t>301.599.441</t>
  </si>
  <si>
    <t>29.03.2012</t>
  </si>
  <si>
    <t>Khương Anh Dũng</t>
  </si>
  <si>
    <t>304.316.850</t>
  </si>
  <si>
    <t>16.09.2009</t>
  </si>
  <si>
    <t>Trương Hoàng Nam</t>
  </si>
  <si>
    <t>1973</t>
  </si>
  <si>
    <t>Hiệp Hòa, Hiệp Tân, Hòa Thành, Tây Ninh</t>
  </si>
  <si>
    <t>290.253.792</t>
  </si>
  <si>
    <t>26.11.2010</t>
  </si>
  <si>
    <t>090.918.6088</t>
  </si>
  <si>
    <t>1978</t>
  </si>
  <si>
    <t>91D/2C, Tân Hưng, Quận 7, Tp.HCM</t>
  </si>
  <si>
    <t>023.112.950</t>
  </si>
  <si>
    <t>01.03.2012</t>
  </si>
  <si>
    <t>079.2495.776</t>
  </si>
  <si>
    <t>Nguyễn Hoàng Bảo Trân</t>
  </si>
  <si>
    <t>2007</t>
  </si>
  <si>
    <t>1987</t>
  </si>
  <si>
    <t>093.819.4362</t>
  </si>
  <si>
    <t>Bình Qưới, Chợ Mới, An Giang</t>
  </si>
  <si>
    <t>350.954.363</t>
  </si>
  <si>
    <t>24.03.2017</t>
  </si>
  <si>
    <t>038.344.8424</t>
  </si>
  <si>
    <t>Nguyễn Văn Yêm</t>
  </si>
  <si>
    <t>Ấp 12, Trinh Phú, Kế Sách, Sóc Trăng</t>
  </si>
  <si>
    <t>365.728.408</t>
  </si>
  <si>
    <t>28.09.2009</t>
  </si>
  <si>
    <t>0901.242.048</t>
  </si>
  <si>
    <t>Trương Thị Thúy Phượng</t>
  </si>
  <si>
    <t>351.745.942</t>
  </si>
  <si>
    <t>10.01.2003</t>
  </si>
  <si>
    <t>Trương Minh Thọ</t>
  </si>
  <si>
    <t>352.686.715</t>
  </si>
  <si>
    <t>16.07.2018</t>
  </si>
  <si>
    <t>236, ấp 2, Phước Kiển, Nhà Bè, TP.HCM</t>
  </si>
  <si>
    <t>023.291.011</t>
  </si>
  <si>
    <t>21.02.1995</t>
  </si>
  <si>
    <t>Phan Thị Thành</t>
  </si>
  <si>
    <t>Phú An, Hương Chữ, Hương Trà, Thừa Thiên Huế</t>
  </si>
  <si>
    <t>191.586.813</t>
  </si>
  <si>
    <t>Trần Thị Minh Tâm</t>
  </si>
  <si>
    <t xml:space="preserve">11A, Lê Đình Cẩn, Quảng Ngãi, Nghĩa Bình </t>
  </si>
  <si>
    <t>211.032.849</t>
  </si>
  <si>
    <t>23.03.1983</t>
  </si>
  <si>
    <t>024.995.349</t>
  </si>
  <si>
    <t>21.10.2008</t>
  </si>
  <si>
    <t>093.8034.250</t>
  </si>
  <si>
    <t>Nguyễn Cao Trí</t>
  </si>
  <si>
    <t>243/88/2D, Tôn Thất Thuyết, P3, Q4, TP.HCM</t>
  </si>
  <si>
    <t>2015.04</t>
  </si>
  <si>
    <t>024.995.350</t>
  </si>
  <si>
    <t>0938.544.715</t>
  </si>
  <si>
    <t>Nguyễn Trọng Hiệp</t>
  </si>
  <si>
    <t>025.070.393</t>
  </si>
  <si>
    <t>13.02.2009</t>
  </si>
  <si>
    <t>Nguyễn Hồ Phương Trâm</t>
  </si>
  <si>
    <t>025.657.265</t>
  </si>
  <si>
    <t>23.02.2013</t>
  </si>
  <si>
    <t>024.995.351</t>
  </si>
  <si>
    <t>266/43 Tôn Đản, P4, Q4, Tp.HCM</t>
  </si>
  <si>
    <t>024.995.643</t>
  </si>
  <si>
    <t>09.10.2012</t>
  </si>
  <si>
    <t>093.137.1658</t>
  </si>
  <si>
    <t>10.2018</t>
  </si>
  <si>
    <t>Lương Thị Nga</t>
  </si>
  <si>
    <t>Khu phố 7, Vĩnh An, Vĩnh Cửu, Đồng Nai</t>
  </si>
  <si>
    <t>272.793.419</t>
  </si>
  <si>
    <t>24.11.2015</t>
  </si>
  <si>
    <t>093.207.7840</t>
  </si>
  <si>
    <t>Nguyễn Ngọc Quỳnh Trang</t>
  </si>
  <si>
    <t>272.830.296</t>
  </si>
  <si>
    <t>14.06.2016</t>
  </si>
  <si>
    <t>Nguyễn Ngọc Phương Chinh</t>
  </si>
  <si>
    <t>Ấp 1, Tân Hưng, Ba Tri, Bến Tre</t>
  </si>
  <si>
    <t>321.287.686</t>
  </si>
  <si>
    <t>26.06.2015</t>
  </si>
  <si>
    <t>076.5616.750</t>
  </si>
  <si>
    <t>09.2018</t>
  </si>
  <si>
    <t>Đoàn Thị Huệ Chị</t>
  </si>
  <si>
    <t>321.481.626</t>
  </si>
  <si>
    <t>Nguyễn Hữu Hậu</t>
  </si>
  <si>
    <t>Tấn Phước, Tấn Mỹ, Chợ Mới, An Giang</t>
  </si>
  <si>
    <t>351.886.679</t>
  </si>
  <si>
    <t>23.09.2015</t>
  </si>
  <si>
    <t>Bạn</t>
  </si>
  <si>
    <t>Đoàn Văn Hòa</t>
  </si>
  <si>
    <t>324.376.927</t>
  </si>
  <si>
    <t>28.02.2006</t>
  </si>
  <si>
    <t>034.609.3371</t>
  </si>
  <si>
    <t>Đoàn Văn Bình</t>
  </si>
  <si>
    <t>Thôn 11, xã Ia Rvê, Ea Súp, Đắc Lắc</t>
  </si>
  <si>
    <t>341.385.341</t>
  </si>
  <si>
    <t>29.09.2011</t>
  </si>
  <si>
    <t>Dương Văn Tèo</t>
  </si>
  <si>
    <t>Ấp 3B, TT.Bảy Ngàn, Châu Thành A, Hậu Giang</t>
  </si>
  <si>
    <t>363.552.648</t>
  </si>
  <si>
    <t>07.07.2014</t>
  </si>
  <si>
    <t>397 Ba Đình, P8, Q8, Tp.HCM</t>
  </si>
  <si>
    <t>079.190.007.148</t>
  </si>
  <si>
    <t>07.05.2018</t>
  </si>
  <si>
    <t>093.380.4487</t>
  </si>
  <si>
    <t>Dương Huỳnh Ái My</t>
  </si>
  <si>
    <t>Huỳnh Thị Lan</t>
  </si>
  <si>
    <t>020.946.891</t>
  </si>
  <si>
    <t>Mẹ vợ</t>
  </si>
  <si>
    <t>Hà Thị Xinh</t>
  </si>
  <si>
    <t>361.581.451</t>
  </si>
  <si>
    <t>05.06.1991</t>
  </si>
  <si>
    <t>Trần Trọng Nghĩa</t>
  </si>
  <si>
    <t>B18/1 Phạm Thế Hiển, P3, Q8, Tp.HCM</t>
  </si>
  <si>
    <t>022.402.735</t>
  </si>
  <si>
    <t>09.07.2004</t>
  </si>
  <si>
    <t>0939.662.592</t>
  </si>
  <si>
    <t>Ấp 5, Bình Xuân, Gò Công Đông, Tiền Giang</t>
  </si>
  <si>
    <t>0938.549.614</t>
  </si>
  <si>
    <t>Dương Thị Yến</t>
  </si>
  <si>
    <t>611 ấp 1, Đạo Thạnh, Mỹ Tho, Tiền Giang</t>
  </si>
  <si>
    <t>310.836.600</t>
  </si>
  <si>
    <t>25.06.2008</t>
  </si>
  <si>
    <t>Nguyễn Văn Trường</t>
  </si>
  <si>
    <t>Nguyễn Thị Liễu</t>
  </si>
  <si>
    <t>312.269.135</t>
  </si>
  <si>
    <t>15.05.2018</t>
  </si>
  <si>
    <t>Nguyễn Hoài Bảo</t>
  </si>
  <si>
    <t>312.556.007</t>
  </si>
  <si>
    <t>30.05.2018</t>
  </si>
  <si>
    <t>336 lô Y, chung cư Ngô Gia Tự, P2, Q10, Tp.HCM</t>
  </si>
  <si>
    <t>079.183.008.985</t>
  </si>
  <si>
    <t>08.05.2018</t>
  </si>
  <si>
    <t>093.476.0825</t>
  </si>
  <si>
    <t>Nguyễn Công Trường</t>
  </si>
  <si>
    <t>Ấp 7, Xuân Tây, Cẩm Mỹ, Đồng Nai</t>
  </si>
  <si>
    <t>271.467.465</t>
  </si>
  <si>
    <t>31.05.2018</t>
  </si>
  <si>
    <t>Nguyễn Ngọc Bảo Yến</t>
  </si>
  <si>
    <t>243/90 Tôn Thất Thuyết, P3, Q4, Tp.HCM</t>
  </si>
  <si>
    <t>079.301.012.115</t>
  </si>
  <si>
    <t>07.07.2016</t>
  </si>
  <si>
    <t>Nguyễn Gia Bảo</t>
  </si>
  <si>
    <t>Nguyễn Thị Huỳnh Mai</t>
  </si>
  <si>
    <t>1990</t>
  </si>
  <si>
    <t>Bình Thạnh, Bình Tịnh, Tân Trụ, Long An</t>
  </si>
  <si>
    <t>301.354.485</t>
  </si>
  <si>
    <t>16.11.2005</t>
  </si>
  <si>
    <t>097.999.7886</t>
  </si>
  <si>
    <t>01.02.2019</t>
  </si>
  <si>
    <t>Trương Trường Thông</t>
  </si>
  <si>
    <t>Bình Lợi, Đức Tân, Tân Trụ, Long An</t>
  </si>
  <si>
    <t>301.355.214</t>
  </si>
  <si>
    <t>01.07.2013</t>
  </si>
  <si>
    <t>0909.417.174</t>
  </si>
  <si>
    <t>Huỳnh Thị Mười</t>
  </si>
  <si>
    <t>1968</t>
  </si>
  <si>
    <t>Bình Điện, Bình Tịnh, Tân Trụ, Long An</t>
  </si>
  <si>
    <t>300.767.318</t>
  </si>
  <si>
    <t>28.07.2004</t>
  </si>
  <si>
    <t>Trương Trường Tín</t>
  </si>
  <si>
    <t>2017</t>
  </si>
  <si>
    <t>1982</t>
  </si>
  <si>
    <t>702/14, ấp 2, xã Phước Kiển, Nhà Bè, Tp.HCM</t>
  </si>
  <si>
    <t>025.986.050</t>
  </si>
  <si>
    <t>01.11.2014</t>
  </si>
  <si>
    <t>11.03.2019</t>
  </si>
  <si>
    <t>Trần Thị Ngọc</t>
  </si>
  <si>
    <t>1983</t>
  </si>
  <si>
    <t>Thôn 3, Vinh Thanh, Phú Vang, Thừa Thiên Huế</t>
  </si>
  <si>
    <t>191.597.870</t>
  </si>
  <si>
    <t>0359.688.726</t>
  </si>
  <si>
    <t>Danh Hoài Phát</t>
  </si>
  <si>
    <t>0379.825.619</t>
  </si>
  <si>
    <t>Trần Thị Quỳnh Lan</t>
  </si>
  <si>
    <t>2015</t>
  </si>
  <si>
    <t>Bình Thạnh, Minh Hòa, Châu Thành, Kiên Giang</t>
  </si>
  <si>
    <t>371.024.004</t>
  </si>
  <si>
    <t>Cao Văn Hòa</t>
  </si>
  <si>
    <t>769/44/79 Phạm Thế Hiển, P4, Q8</t>
  </si>
  <si>
    <t>026.134.287</t>
  </si>
  <si>
    <t>Trần Trọng Ân</t>
  </si>
  <si>
    <t>1993</t>
  </si>
  <si>
    <t>025.744.015</t>
  </si>
  <si>
    <t>17.01.2013</t>
  </si>
  <si>
    <t>02.2019</t>
  </si>
  <si>
    <t>Trần Gia Phúc</t>
  </si>
  <si>
    <t>2014</t>
  </si>
  <si>
    <t>Nông Quốc Thịnh</t>
  </si>
  <si>
    <t>Mai Ánh Điệp</t>
  </si>
  <si>
    <t>Từ Minh Trí</t>
  </si>
  <si>
    <t>Đ+N</t>
  </si>
  <si>
    <t>28/9 Xô Viết Nghệ Tĩnh, P.21, Bình Thạnh, Tp.HCM</t>
  </si>
  <si>
    <t>1988</t>
  </si>
  <si>
    <t>550/26, tổ 3, ấp 3, Phú Xuân, Nhà Bè, Tp.HCM</t>
  </si>
  <si>
    <t>Lê Văn Lành</t>
  </si>
  <si>
    <t>1967</t>
  </si>
  <si>
    <t>122/27/29/6 Tôn Đản, P.10, Quận 4, Tp.HCM</t>
  </si>
  <si>
    <t>Lê Ngọc Hiền Phát</t>
  </si>
  <si>
    <t>2005</t>
  </si>
  <si>
    <t>Lê Ngọc Hiền Phấn</t>
  </si>
  <si>
    <t>2008</t>
  </si>
  <si>
    <t>Lê Ngọc Hiền Phước</t>
  </si>
  <si>
    <t>2011</t>
  </si>
  <si>
    <t>Lê Ngọc Hiền Thúy</t>
  </si>
  <si>
    <t>2010</t>
  </si>
  <si>
    <t>Lê Ngọc Ánh Duyên</t>
  </si>
  <si>
    <t>1960</t>
  </si>
  <si>
    <t>2/4, đường 6, kp5, P.Linh Chiểu, Q.Thủ Đức, Tp.HCM</t>
  </si>
  <si>
    <t>021.792.700</t>
  </si>
  <si>
    <t>28.10.2011</t>
  </si>
  <si>
    <t>2019.05.01</t>
  </si>
  <si>
    <t>Nguyễn Thị Lan</t>
  </si>
  <si>
    <t>1974</t>
  </si>
  <si>
    <t>Ấp 1, Thường Phước 1, Hồng Ngự, Đồng Tháp</t>
  </si>
  <si>
    <t>341.649.177</t>
  </si>
  <si>
    <t>12.11.2013</t>
  </si>
  <si>
    <t>209 Ngô Quyền, Tân An, TX.Lagi, Bình Thuận</t>
  </si>
  <si>
    <t>261.455.631</t>
  </si>
  <si>
    <t>27.08.2013</t>
  </si>
  <si>
    <t>070.8136.250</t>
  </si>
  <si>
    <t>090.284.7526</t>
  </si>
  <si>
    <t>090.154.3700</t>
  </si>
  <si>
    <t>2019.04.06</t>
  </si>
  <si>
    <t>2019.04.05</t>
  </si>
  <si>
    <t>Đến số</t>
  </si>
  <si>
    <t>Xài</t>
  </si>
  <si>
    <t>Khách sử dụng</t>
  </si>
  <si>
    <t>Võ Văn Diện</t>
  </si>
  <si>
    <t>1998</t>
  </si>
  <si>
    <t>Ấp Bến Xoài, Nhuận Phú Tân, Mỏ Cày Bắc, Bến Tre</t>
  </si>
  <si>
    <t>321.760.588</t>
  </si>
  <si>
    <t>24.05.2017</t>
  </si>
  <si>
    <t>2019.05</t>
  </si>
  <si>
    <t>Đồng hồ chạy</t>
  </si>
  <si>
    <t>Khách xài - all</t>
  </si>
  <si>
    <t>Giếng nước</t>
  </si>
  <si>
    <t>Tổng xài - lũy kế</t>
  </si>
  <si>
    <t>Khu A-B-X: Tổng tiền</t>
  </si>
  <si>
    <t>Khu A-B-X: Tổng chỉ số</t>
  </si>
  <si>
    <t>Khu A-B-X: Bình quân giá</t>
  </si>
  <si>
    <t>Nộp ngân hàng</t>
  </si>
  <si>
    <t>Số dư</t>
  </si>
  <si>
    <t>Tiền ĐIỆN cần trả</t>
  </si>
  <si>
    <t>Tiền NƯỚC cần trả</t>
  </si>
  <si>
    <t>Phí ngân hàng</t>
  </si>
  <si>
    <t>Tiền Ba trả lại</t>
  </si>
  <si>
    <t>Tiền gộp số dư - đầu tháng</t>
  </si>
  <si>
    <t>Tổng tiền NƯỚC cần trả</t>
  </si>
  <si>
    <t>Tổng tiền nước A-B-X</t>
  </si>
  <si>
    <t>024.195.381</t>
  </si>
  <si>
    <t>21.10.2012</t>
  </si>
  <si>
    <t>022.952.188</t>
  </si>
  <si>
    <t>18.02.2009</t>
  </si>
  <si>
    <t>1963</t>
  </si>
  <si>
    <t>8/8B, Chánh Hưng, P.4, Q.8, Tp.HCM</t>
  </si>
  <si>
    <t>Cao Thị Thanh Hương</t>
  </si>
  <si>
    <t>1965</t>
  </si>
  <si>
    <t>Nguyễn Cao Ngọc Quyên</t>
  </si>
  <si>
    <t>1989</t>
  </si>
  <si>
    <t>024.599.152</t>
  </si>
  <si>
    <t>Nguyễn Cao Khánh Trúc</t>
  </si>
  <si>
    <t>025.901.283</t>
  </si>
  <si>
    <t>079.063.009.182</t>
  </si>
  <si>
    <t>079.165010.556</t>
  </si>
  <si>
    <t>19.04.2019</t>
  </si>
  <si>
    <t>08.08.2006</t>
  </si>
  <si>
    <t>01.07.2014</t>
  </si>
  <si>
    <t>Nguyễn Thị Bông</t>
  </si>
  <si>
    <t>#12 Nhà 10Mo</t>
  </si>
  <si>
    <t>#02 Nhà Hải Nhớ</t>
  </si>
  <si>
    <t>Máy lạnh Hải Nhớ</t>
  </si>
  <si>
    <t>Nhà 10 Khiết</t>
  </si>
  <si>
    <t>Nhà Hải Nhớ</t>
  </si>
  <si>
    <t>Khu A1-3</t>
  </si>
  <si>
    <t>Khu B3-6</t>
  </si>
  <si>
    <t>Loại</t>
  </si>
  <si>
    <t>CHECK ĐỒNG HỒ</t>
  </si>
  <si>
    <t>USED</t>
  </si>
  <si>
    <t>ghi</t>
  </si>
  <si>
    <t>Meter</t>
  </si>
  <si>
    <t>NGÂN HÀNG</t>
  </si>
  <si>
    <t>Tổng tiền ĐIỆN cần trả</t>
  </si>
  <si>
    <t>CẦU TRẮNG - Điện</t>
  </si>
  <si>
    <t>CẦU TRẮNG - Nước</t>
  </si>
  <si>
    <t>CẦU
TRẮNG</t>
  </si>
  <si>
    <t>Khu A-B-X</t>
  </si>
  <si>
    <t>Khu A-B-X: Tổng Điện</t>
  </si>
  <si>
    <t>Khu A-B-X: Tổng Nước</t>
  </si>
  <si>
    <t>Tổng tiền điện A-B-X</t>
  </si>
  <si>
    <t>Khu B1-B7</t>
  </si>
  <si>
    <t>Võ Văn Đầy</t>
  </si>
  <si>
    <t>1984</t>
  </si>
  <si>
    <t>321.427.102</t>
  </si>
  <si>
    <t>25.09.2017</t>
  </si>
  <si>
    <t>2019.06</t>
  </si>
  <si>
    <t>Nguyễn Phúc Kha</t>
  </si>
  <si>
    <t>Đông Thạnh, Ngãi Tứ, Tam Bình, Vĩnh Long</t>
  </si>
  <si>
    <t>331.796.545</t>
  </si>
  <si>
    <t>09.11.2017</t>
  </si>
  <si>
    <t>090.687.0504</t>
  </si>
  <si>
    <t>0975.063.419</t>
  </si>
  <si>
    <t>036.5733.615</t>
  </si>
  <si>
    <t>079.8219.673</t>
  </si>
  <si>
    <t>058.3597.648</t>
  </si>
  <si>
    <t>090.948.8278</t>
  </si>
  <si>
    <t>2019.04</t>
  </si>
  <si>
    <t>070.7608.607</t>
  </si>
  <si>
    <t>090.877.9979</t>
  </si>
  <si>
    <t>X1 - X3</t>
  </si>
  <si>
    <t>Phòng A4</t>
  </si>
  <si>
    <t>Nguyễn Hồ Phương Thảo</t>
  </si>
  <si>
    <t>0343.119.733</t>
  </si>
  <si>
    <t>Khu A5-19</t>
  </si>
  <si>
    <t>GHI chỉ số hàng tháng</t>
  </si>
  <si>
    <t>Đồng hồ chạy hàng tháng</t>
  </si>
  <si>
    <t>Ghi từ sổ</t>
  </si>
  <si>
    <t>Tổng điện nước</t>
  </si>
  <si>
    <t>079.065.009.620</t>
  </si>
  <si>
    <t>079.166.009.868</t>
  </si>
  <si>
    <t>079.186.013.135</t>
  </si>
  <si>
    <t>079.188.013.946</t>
  </si>
  <si>
    <t>079.085.014.763</t>
  </si>
  <si>
    <t>079.170.011.158</t>
  </si>
  <si>
    <t>17.12.2018</t>
  </si>
  <si>
    <t>24.12.2018</t>
  </si>
  <si>
    <t>21.01.2019</t>
  </si>
  <si>
    <t>22.01.2019</t>
  </si>
  <si>
    <t>Giếng nước 3 pha</t>
  </si>
  <si>
    <t>Tổng đồng hồ các phòng</t>
  </si>
  <si>
    <t>Phòng B9</t>
  </si>
  <si>
    <t>Tiền chênh lệch</t>
  </si>
  <si>
    <t>Tiền chuyển khoản</t>
  </si>
  <si>
    <t>Xóm Giữa, Phong Thạnh, Cầu Kè, Trà Vinh</t>
  </si>
  <si>
    <t>c</t>
  </si>
  <si>
    <t>Tiền nhà</t>
  </si>
  <si>
    <t>Số phòng</t>
  </si>
  <si>
    <t>Tiền điện lực</t>
  </si>
  <si>
    <t>Số KW</t>
  </si>
  <si>
    <t>Bình quân giá điện</t>
  </si>
  <si>
    <t>Tiền nước Đồng Nai</t>
  </si>
  <si>
    <t>Số khối</t>
  </si>
  <si>
    <t>Bình quân giá nước</t>
  </si>
  <si>
    <t>Tiền điện KHÁCH</t>
  </si>
  <si>
    <t>Tiền nước KHÁCH</t>
  </si>
  <si>
    <t>Khách dùng</t>
  </si>
  <si>
    <t>Tiền khách</t>
  </si>
  <si>
    <t>Tổng</t>
  </si>
  <si>
    <t>Nước - 6288</t>
  </si>
  <si>
    <t>Nước - 6291</t>
  </si>
  <si>
    <t>Nước - 1546</t>
  </si>
  <si>
    <t>Nước - 1547</t>
  </si>
  <si>
    <t>Test</t>
  </si>
  <si>
    <t>Bảng phụ A - TỔNG TIỀN PHÒNG HÀNG THÁNG</t>
  </si>
  <si>
    <t>1. Bảng phụ - Chỉ số đồng hồ ĐIỆN</t>
  </si>
  <si>
    <t>2. Bảng phụ - Chỉ số đồng hồ NƯỚC</t>
  </si>
  <si>
    <t>3. Bảng phụ - XÀI ĐIỆN</t>
  </si>
  <si>
    <t>4. Bảng phụ - XÀI NƯỚC</t>
  </si>
  <si>
    <t>5. Bảng phụ - Giá điện</t>
  </si>
  <si>
    <t>6. Bảng phụ - Giá nước</t>
  </si>
  <si>
    <t>7. Bảng phụ - RÁC</t>
  </si>
  <si>
    <t>8. Bảng phụ - CÁP</t>
  </si>
  <si>
    <t>9. Bảng phụ - PHỤ THU KHÁC</t>
  </si>
  <si>
    <t>10. Bảng phụ - GIÁ TIỀN PHÒNG</t>
  </si>
  <si>
    <t>11. Bảng phụ - THU TIỀN ĐIỆN</t>
  </si>
  <si>
    <t>12. Bảng phụ - THU TIỀN NƯỚC</t>
  </si>
  <si>
    <t>ST.b</t>
  </si>
  <si>
    <t>ST.2</t>
  </si>
  <si>
    <t>b</t>
  </si>
  <si>
    <t>d</t>
  </si>
  <si>
    <t>e</t>
  </si>
  <si>
    <t>f</t>
  </si>
  <si>
    <t>g</t>
  </si>
  <si>
    <t>h</t>
  </si>
  <si>
    <t>Tiền điện</t>
  </si>
  <si>
    <t>Tiền nước</t>
  </si>
  <si>
    <t>Tiền rác</t>
  </si>
  <si>
    <t>Tiền cáp</t>
  </si>
  <si>
    <t>Tiền khác</t>
  </si>
  <si>
    <t>Tiền phòng</t>
  </si>
  <si>
    <t>Tổng tiền</t>
  </si>
  <si>
    <t>Xài điện</t>
  </si>
  <si>
    <t>Xài nước</t>
  </si>
  <si>
    <t>Tiền</t>
  </si>
  <si>
    <t>Số chuẩn</t>
  </si>
  <si>
    <t>Cộng</t>
  </si>
  <si>
    <t>Năm 2020</t>
  </si>
  <si>
    <t>13. Bảng phụ - Tiền cọc &amp; Cáp rác</t>
  </si>
  <si>
    <t>Đặng Hoàng Nhã</t>
  </si>
  <si>
    <t>3. BẢNG THU TIỀN HÀNG THÁNG - Năm 2020</t>
  </si>
  <si>
    <t>Nhận từ chuyển khoản</t>
  </si>
  <si>
    <t>Home-a</t>
  </si>
  <si>
    <t>Home-b</t>
  </si>
  <si>
    <t>Tổng nước - HOME</t>
  </si>
  <si>
    <t>Tổng điện - HOME</t>
  </si>
  <si>
    <t>Tổng điện - KHÁCH</t>
  </si>
  <si>
    <t>Tổng nước - KHÁCH</t>
  </si>
  <si>
    <t>A</t>
  </si>
  <si>
    <t>B</t>
  </si>
  <si>
    <t>C</t>
  </si>
  <si>
    <t>D</t>
  </si>
  <si>
    <t>E</t>
  </si>
  <si>
    <t>F</t>
  </si>
  <si>
    <t>HẰNG THÁNG</t>
  </si>
  <si>
    <t>G</t>
  </si>
  <si>
    <t>H</t>
  </si>
  <si>
    <t>I</t>
  </si>
  <si>
    <t>J</t>
  </si>
  <si>
    <t>K</t>
  </si>
  <si>
    <t>L</t>
  </si>
  <si>
    <t>#03 Nhà - 100K</t>
  </si>
  <si>
    <t>#04 CHUNG A-B-X</t>
  </si>
  <si>
    <t>Tổng - Nhà 10Mo</t>
  </si>
  <si>
    <t>Kho; Máy hàn-cắt</t>
  </si>
  <si>
    <t>#06 A1-A3</t>
  </si>
  <si>
    <t>#07 A1-A3</t>
  </si>
  <si>
    <t>#10 B3-B6</t>
  </si>
  <si>
    <t>M</t>
  </si>
  <si>
    <t>N</t>
  </si>
  <si>
    <t>P</t>
  </si>
  <si>
    <t>Tổng đồng hồ Điện lực - Web</t>
  </si>
  <si>
    <t>Dãy A5-19 &amp; X1-X3</t>
  </si>
  <si>
    <t>A20</t>
  </si>
  <si>
    <t>X1-3; Vườn cây</t>
  </si>
  <si>
    <t>Nhà 10Mo xài</t>
  </si>
  <si>
    <t>Đồng hồ
#3, 4, 12, 13</t>
  </si>
  <si>
    <t>A5 - A19, X1 - X3</t>
  </si>
  <si>
    <t>10 Khiết</t>
  </si>
  <si>
    <t>Đồng hồ</t>
  </si>
  <si>
    <t>Giếng nước, Vườn cây</t>
  </si>
  <si>
    <t>Chênh lệch tổng</t>
  </si>
  <si>
    <t>A1-A3
Đồng hồ #6, 7</t>
  </si>
  <si>
    <t>A5-A20, X1-X3
Đồng hồ H</t>
  </si>
  <si>
    <t>B3-B6
Đồng hồ #10</t>
  </si>
  <si>
    <t>Đồng hồ chạy - all</t>
  </si>
  <si>
    <t>NƯỚC
Khu A-B-X</t>
  </si>
  <si>
    <t>NƯỚC</t>
  </si>
  <si>
    <t>Hải Nhớ</t>
  </si>
  <si>
    <t>TỔNG KHÁCH</t>
  </si>
  <si>
    <t>Khu A-X</t>
  </si>
  <si>
    <t>Thay đồng hồ</t>
  </si>
  <si>
    <t>1902.113.6003</t>
  </si>
  <si>
    <t>157 ấp 1, Phước Kiển, Nhà Bè</t>
  </si>
  <si>
    <t>Tạp hóa Loan Phụng</t>
  </si>
  <si>
    <t>PE.1100.102.8999</t>
  </si>
  <si>
    <t>Phạm Thị Ư</t>
  </si>
  <si>
    <t>TẠP HÓA - Điện</t>
  </si>
  <si>
    <t>TẠP HÓA - Nước</t>
  </si>
  <si>
    <t>Tiền Anh Hai trả lại</t>
  </si>
  <si>
    <t>TẠP HÓA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</si>
</sst>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#\ ###\ ###\ ###"/>
  </numFmts>
  <fonts count="99">
    <font>
      <sz val="12"/>
      <color rgb="FF000000"/>
      <name val="Times New Roman"/>
    </font>
    <font>
      <b/>
      <sz val="16"/>
      <name val="Times New Roman"/>
      <family val="1"/>
      <charset val="163"/>
    </font>
    <font>
      <b/>
      <sz val="18"/>
      <color rgb="FF000000"/>
      <name val="Times New Roman"/>
      <family val="1"/>
      <charset val="163"/>
    </font>
    <font>
      <sz val="14"/>
      <name val="Times New Roman"/>
      <family val="1"/>
      <charset val="163"/>
    </font>
    <font>
      <sz val="12"/>
      <name val="Times New Roman"/>
      <family val="1"/>
      <charset val="163"/>
    </font>
    <font>
      <sz val="13"/>
      <name val="Times New Roman"/>
      <family val="1"/>
      <charset val="163"/>
    </font>
    <font>
      <sz val="13"/>
      <color rgb="FF000000"/>
      <name val="Times New Roman"/>
      <family val="1"/>
      <charset val="163"/>
    </font>
    <font>
      <b/>
      <sz val="20"/>
      <name val="Times New Roman"/>
      <family val="1"/>
      <charset val="163"/>
    </font>
    <font>
      <b/>
      <sz val="13"/>
      <color rgb="FFFF0000"/>
      <name val="Times New Roman"/>
      <family val="1"/>
      <charset val="163"/>
    </font>
    <font>
      <b/>
      <sz val="13"/>
      <color rgb="FF000000"/>
      <name val="Times New Roman"/>
      <family val="1"/>
      <charset val="163"/>
    </font>
    <font>
      <i/>
      <sz val="13"/>
      <color rgb="FF000000"/>
      <name val="Times New Roman"/>
      <family val="1"/>
      <charset val="163"/>
    </font>
    <font>
      <sz val="13"/>
      <color rgb="FFFF0000"/>
      <name val="Times New Roman"/>
      <family val="1"/>
      <charset val="163"/>
    </font>
    <font>
      <sz val="10"/>
      <color rgb="FF000000"/>
      <name val="Times New Roman"/>
      <family val="1"/>
      <charset val="163"/>
    </font>
    <font>
      <b/>
      <sz val="12"/>
      <color rgb="FF000000"/>
      <name val="Times New Roman"/>
      <family val="1"/>
      <charset val="163"/>
    </font>
    <font>
      <sz val="11"/>
      <color rgb="FF000000"/>
      <name val="Times New Roman"/>
      <family val="1"/>
      <charset val="163"/>
    </font>
    <font>
      <i/>
      <sz val="13"/>
      <name val="Times New Roman"/>
      <family val="1"/>
      <charset val="163"/>
    </font>
    <font>
      <i/>
      <sz val="11"/>
      <name val="Times New Roman"/>
      <family val="1"/>
      <charset val="163"/>
    </font>
    <font>
      <b/>
      <sz val="12"/>
      <color rgb="FFFF0000"/>
      <name val="Times New Roman"/>
      <family val="1"/>
      <charset val="163"/>
    </font>
    <font>
      <b/>
      <i/>
      <sz val="12"/>
      <color rgb="FFFF0000"/>
      <name val="Times New Roman"/>
      <family val="1"/>
      <charset val="163"/>
    </font>
    <font>
      <i/>
      <sz val="14"/>
      <name val="Times New Roman"/>
      <family val="1"/>
      <charset val="163"/>
    </font>
    <font>
      <b/>
      <sz val="10"/>
      <name val="Times New Roman"/>
      <family val="1"/>
      <charset val="163"/>
    </font>
    <font>
      <b/>
      <sz val="10"/>
      <color rgb="FF000000"/>
      <name val="Times New Roman"/>
      <family val="1"/>
      <charset val="163"/>
    </font>
    <font>
      <i/>
      <sz val="10"/>
      <name val="Times New Roman"/>
      <family val="1"/>
      <charset val="163"/>
    </font>
    <font>
      <b/>
      <i/>
      <sz val="12"/>
      <color rgb="FF4BACC6"/>
      <name val="Times New Roman"/>
      <family val="1"/>
      <charset val="163"/>
    </font>
    <font>
      <i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2"/>
      <color rgb="FF0000FF"/>
      <name val="Times New Roman"/>
      <family val="1"/>
      <charset val="163"/>
    </font>
    <font>
      <b/>
      <sz val="18"/>
      <name val="Times New Roman"/>
      <family val="1"/>
      <charset val="163"/>
    </font>
    <font>
      <sz val="10"/>
      <name val="Times New Roman"/>
      <family val="1"/>
      <charset val="163"/>
    </font>
    <font>
      <sz val="13"/>
      <color rgb="FF181818"/>
      <name val="Times New Roman"/>
      <family val="1"/>
      <charset val="163"/>
    </font>
    <font>
      <sz val="10"/>
      <color rgb="FFFF0000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3"/>
      <color rgb="FF4472C4"/>
      <name val="Times New Roman"/>
      <family val="1"/>
      <charset val="163"/>
    </font>
    <font>
      <b/>
      <sz val="17"/>
      <name val="Times New Roman"/>
      <family val="1"/>
      <charset val="163"/>
    </font>
    <font>
      <b/>
      <i/>
      <sz val="16"/>
      <name val="Times New Roman"/>
      <family val="1"/>
      <charset val="163"/>
    </font>
    <font>
      <b/>
      <sz val="14"/>
      <name val="Times New Roman"/>
      <family val="1"/>
      <charset val="163"/>
    </font>
    <font>
      <sz val="11"/>
      <name val="Times New Roman"/>
      <family val="1"/>
      <charset val="163"/>
    </font>
    <font>
      <sz val="17"/>
      <name val="Times New Roman"/>
      <family val="1"/>
      <charset val="163"/>
    </font>
    <font>
      <b/>
      <sz val="11"/>
      <color rgb="FF0000FF"/>
      <name val="Times New Roman"/>
      <family val="1"/>
      <charset val="163"/>
    </font>
    <font>
      <b/>
      <sz val="11"/>
      <name val="Times New Roman"/>
      <family val="1"/>
      <charset val="163"/>
    </font>
    <font>
      <i/>
      <u/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4"/>
      <color rgb="FF0000FF"/>
      <name val="Times New Roman"/>
      <family val="1"/>
      <charset val="163"/>
    </font>
    <font>
      <sz val="4"/>
      <name val="Times New Roman"/>
      <family val="1"/>
      <charset val="163"/>
    </font>
    <font>
      <sz val="11"/>
      <color rgb="FF0000FF"/>
      <name val="Times New Roman"/>
      <family val="1"/>
      <charset val="163"/>
    </font>
    <font>
      <b/>
      <i/>
      <sz val="13"/>
      <name val="Times New Roman"/>
      <family val="1"/>
      <charset val="163"/>
    </font>
    <font>
      <sz val="13"/>
      <color rgb="FF4F81BD"/>
      <name val="Times New Roman"/>
      <family val="1"/>
      <charset val="163"/>
    </font>
    <font>
      <sz val="13"/>
      <color rgb="FFFF66CC"/>
      <name val="Times New Roman"/>
      <family val="1"/>
      <charset val="163"/>
    </font>
    <font>
      <sz val="13"/>
      <color rgb="FF0000FF"/>
      <name val="Times New Roman"/>
      <family val="1"/>
      <charset val="163"/>
    </font>
    <font>
      <b/>
      <sz val="12"/>
      <name val="Times New Roman"/>
      <family val="1"/>
      <charset val="163"/>
    </font>
    <font>
      <b/>
      <sz val="10"/>
      <color rgb="FFFF0000"/>
      <name val="Times New Roman"/>
      <family val="1"/>
      <charset val="163"/>
    </font>
    <font>
      <sz val="10"/>
      <color rgb="FFD8D8D8"/>
      <name val="Times New Roman"/>
      <family val="1"/>
      <charset val="163"/>
    </font>
    <font>
      <i/>
      <u/>
      <sz val="12"/>
      <name val="Times New Roman"/>
      <family val="1"/>
      <charset val="163"/>
    </font>
    <font>
      <sz val="13"/>
      <color rgb="FF4472C4"/>
      <name val="Times New Roman"/>
      <family val="1"/>
      <charset val="163"/>
    </font>
    <font>
      <sz val="10"/>
      <color rgb="FF5B9BD5"/>
      <name val="Times New Roman"/>
      <family val="1"/>
      <charset val="163"/>
    </font>
    <font>
      <sz val="10"/>
      <color rgb="FFEEECE1"/>
      <name val="Times New Roman"/>
      <family val="1"/>
      <charset val="163"/>
    </font>
    <font>
      <sz val="11"/>
      <color rgb="FF000000"/>
      <name val="Inconsolata"/>
    </font>
    <font>
      <b/>
      <sz val="9"/>
      <color rgb="FF000000"/>
      <name val="Times New Roman"/>
      <family val="1"/>
      <charset val="163"/>
    </font>
    <font>
      <b/>
      <sz val="16"/>
      <color rgb="FF000000"/>
      <name val="Times New Roman"/>
      <family val="1"/>
      <charset val="163"/>
    </font>
    <font>
      <sz val="8"/>
      <color rgb="FF000000"/>
      <name val="Times New Roman"/>
      <family val="1"/>
      <charset val="163"/>
    </font>
    <font>
      <b/>
      <sz val="15"/>
      <name val="Times New Roman"/>
      <family val="1"/>
      <charset val="163"/>
    </font>
    <font>
      <i/>
      <sz val="10"/>
      <color rgb="FF000000"/>
      <name val="Times New Roman"/>
      <family val="1"/>
      <charset val="163"/>
    </font>
    <font>
      <i/>
      <u/>
      <sz val="13"/>
      <name val="Times New Roman"/>
      <family val="1"/>
      <charset val="163"/>
    </font>
    <font>
      <b/>
      <i/>
      <sz val="12"/>
      <name val="Times New Roman"/>
      <family val="1"/>
      <charset val="163"/>
    </font>
    <font>
      <vertAlign val="superscript"/>
      <sz val="13"/>
      <color rgb="FF4F81BD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sz val="6"/>
      <color rgb="FF000000"/>
      <name val="Times New Roman"/>
      <family val="1"/>
      <charset val="163"/>
    </font>
    <font>
      <sz val="12"/>
      <color rgb="FF000000"/>
      <name val="Times New Roman"/>
      <family val="1"/>
      <charset val="163"/>
    </font>
    <font>
      <sz val="10"/>
      <color rgb="FF000000"/>
      <name val="Times New Roman"/>
      <family val="1"/>
      <charset val="163"/>
    </font>
    <font>
      <sz val="30"/>
      <color rgb="FF000000"/>
      <name val="Times New Roman"/>
      <family val="1"/>
      <charset val="163"/>
    </font>
    <font>
      <b/>
      <sz val="20"/>
      <name val="Times New Roman"/>
      <family val="1"/>
      <charset val="163"/>
    </font>
    <font>
      <sz val="14"/>
      <name val="Times New Roman"/>
      <family val="1"/>
    </font>
    <font>
      <sz val="11"/>
      <color theme="1"/>
      <name val="Calibri"/>
      <family val="2"/>
      <scheme val="minor"/>
    </font>
    <font>
      <b/>
      <sz val="9"/>
      <color rgb="FFFF0000"/>
      <name val="Times New Roman"/>
      <family val="1"/>
      <charset val="163"/>
    </font>
    <font>
      <sz val="10"/>
      <color theme="5"/>
      <name val="Times New Roman"/>
      <family val="1"/>
      <charset val="163"/>
    </font>
    <font>
      <sz val="70"/>
      <color theme="6" tint="0.79998168889431442"/>
      <name val="Times New Roman"/>
      <family val="1"/>
      <charset val="163"/>
    </font>
    <font>
      <sz val="8"/>
      <color rgb="FFFF0000"/>
      <name val="Times New Roman"/>
      <family val="1"/>
      <charset val="163"/>
    </font>
    <font>
      <sz val="13"/>
      <color theme="1"/>
      <name val="Times New Roman"/>
      <family val="2"/>
      <charset val="163"/>
    </font>
    <font>
      <b/>
      <sz val="8"/>
      <color rgb="FF000000"/>
      <name val="Times New Roman"/>
      <family val="1"/>
      <charset val="163"/>
    </font>
    <font>
      <sz val="16"/>
      <color rgb="FFFF0000"/>
      <name val="Times New Roman"/>
      <family val="1"/>
      <charset val="163"/>
    </font>
    <font>
      <sz val="16"/>
      <color rgb="FF000000"/>
      <name val="Times New Roman"/>
      <family val="1"/>
      <charset val="163"/>
    </font>
    <font>
      <b/>
      <i/>
      <sz val="16"/>
      <color rgb="FF000000"/>
      <name val="Times New Roman"/>
      <family val="1"/>
      <charset val="163"/>
    </font>
    <font>
      <b/>
      <sz val="16"/>
      <color rgb="FFFF0000"/>
      <name val="Times New Roman"/>
      <family val="1"/>
      <charset val="163"/>
    </font>
    <font>
      <b/>
      <sz val="10"/>
      <color theme="5" tint="-0.249977111117893"/>
      <name val="Times New Roman"/>
      <family val="1"/>
      <charset val="163"/>
    </font>
    <font>
      <sz val="10"/>
      <color theme="5" tint="-0.249977111117893"/>
      <name val="Times New Roman"/>
      <family val="1"/>
      <charset val="163"/>
    </font>
    <font>
      <sz val="12"/>
      <color theme="2" tint="-0.249977111117893"/>
      <name val="Times New Roman"/>
      <family val="1"/>
      <charset val="163"/>
    </font>
    <font>
      <b/>
      <sz val="8"/>
      <color theme="2" tint="-0.249977111117893"/>
      <name val="Times New Roman"/>
      <family val="1"/>
      <charset val="163"/>
    </font>
    <font>
      <sz val="65"/>
      <color theme="2" tint="-0.249977111117893"/>
      <name val="Times New Roman"/>
      <family val="1"/>
      <charset val="163"/>
    </font>
    <font>
      <sz val="102"/>
      <color rgb="FF000000"/>
      <name val="Times New Roman"/>
      <family val="1"/>
      <charset val="163"/>
    </font>
    <font>
      <b/>
      <sz val="30"/>
      <color rgb="FFFF0000"/>
      <name val="Times New Roman"/>
      <family val="1"/>
      <charset val="163"/>
    </font>
    <font>
      <sz val="30"/>
      <name val="Times New Roman"/>
      <family val="1"/>
      <charset val="163"/>
    </font>
    <font>
      <b/>
      <sz val="12"/>
      <color theme="2" tint="-0.249977111117893"/>
      <name val="Times New Roman"/>
      <family val="1"/>
      <charset val="163"/>
    </font>
    <font>
      <sz val="10"/>
      <color theme="1"/>
      <name val="Times New Roman"/>
      <family val="1"/>
      <charset val="163"/>
    </font>
    <font>
      <b/>
      <sz val="10"/>
      <color theme="1"/>
      <name val="Times New Roman"/>
      <family val="1"/>
      <charset val="163"/>
    </font>
    <font>
      <sz val="12"/>
      <color theme="1"/>
      <name val="Times New Roman"/>
      <family val="1"/>
      <charset val="163"/>
    </font>
    <font>
      <sz val="10"/>
      <color rgb="FFFF0000"/>
      <name val="Calibri Light"/>
      <family val="1"/>
      <charset val="163"/>
      <scheme val="major"/>
    </font>
    <font>
      <sz val="10"/>
      <name val="Calibri Light"/>
      <family val="1"/>
      <charset val="163"/>
      <scheme val="major"/>
    </font>
    <font>
      <sz val="10"/>
      <color rgb="FF000000"/>
      <name val="Calibri Light"/>
      <family val="1"/>
      <charset val="163"/>
      <scheme val="major"/>
    </font>
    <font>
      <sz val="12"/>
      <color theme="1" tint="0.14999847407452621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DD6EE"/>
        <bgColor rgb="FFBDD6EE"/>
      </patternFill>
    </fill>
    <fill>
      <patternFill patternType="solid">
        <fgColor rgb="FFB4C6E7"/>
        <bgColor rgb="FFB4C6E7"/>
      </patternFill>
    </fill>
    <fill>
      <patternFill patternType="solid">
        <fgColor rgb="FFDEEAF6"/>
        <bgColor rgb="FFDEEAF6"/>
      </patternFill>
    </fill>
    <fill>
      <patternFill patternType="solid">
        <fgColor rgb="FF00B0F0"/>
        <bgColor rgb="FF00B0F0"/>
      </patternFill>
    </fill>
    <fill>
      <patternFill patternType="solid">
        <fgColor rgb="FFFFFFFF"/>
        <bgColor rgb="FFFFFFFF"/>
      </patternFill>
    </fill>
    <fill>
      <patternFill patternType="solid">
        <fgColor rgb="FFFF9900"/>
        <bgColor rgb="FFFF9900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FFCC99"/>
      </patternFill>
    </fill>
    <fill>
      <patternFill patternType="solid">
        <fgColor rgb="FFFF99CC"/>
        <bgColor rgb="FFFF99CC"/>
      </patternFill>
    </fill>
    <fill>
      <patternFill patternType="solid">
        <fgColor rgb="FFCCFFCC"/>
        <bgColor rgb="FFCCFFCC"/>
      </patternFill>
    </fill>
    <fill>
      <patternFill patternType="solid">
        <fgColor rgb="FFDBE5F1"/>
        <bgColor rgb="FFDBE5F1"/>
      </patternFill>
    </fill>
    <fill>
      <patternFill patternType="solid">
        <fgColor rgb="FF92D050"/>
        <bgColor rgb="FF92D05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BE5F1"/>
      </patternFill>
    </fill>
    <fill>
      <patternFill patternType="solid">
        <fgColor theme="4" tint="0.79998168889431442"/>
        <bgColor rgb="FFDBE5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14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 style="thick">
        <color rgb="FFFF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ck">
        <color rgb="FFFF0000"/>
      </left>
      <right style="thin">
        <color rgb="FF00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2" fillId="0" borderId="43"/>
    <xf numFmtId="43" fontId="72" fillId="0" borderId="43" applyFont="0" applyFill="0" applyBorder="0" applyAlignment="0" applyProtection="0"/>
    <xf numFmtId="0" fontId="67" fillId="0" borderId="43"/>
    <xf numFmtId="0" fontId="77" fillId="0" borderId="43"/>
  </cellStyleXfs>
  <cellXfs count="1029">
    <xf numFmtId="0" fontId="0" fillId="0" borderId="0" xfId="0" applyFont="1" applyAlignment="1"/>
    <xf numFmtId="0" fontId="5" fillId="0" borderId="0" xfId="0" applyFont="1" applyAlignment="1">
      <alignment horizontal="center" vertical="center" wrapText="1"/>
    </xf>
    <xf numFmtId="0" fontId="6" fillId="0" borderId="0" xfId="0" applyFont="1"/>
    <xf numFmtId="49" fontId="6" fillId="0" borderId="0" xfId="0" applyNumberFormat="1" applyFont="1"/>
    <xf numFmtId="49" fontId="6" fillId="0" borderId="0" xfId="0" applyNumberFormat="1" applyFont="1" applyAlignment="1">
      <alignment horizontal="center"/>
    </xf>
    <xf numFmtId="3" fontId="6" fillId="0" borderId="0" xfId="0" applyNumberFormat="1" applyFont="1"/>
    <xf numFmtId="0" fontId="6" fillId="0" borderId="0" xfId="0" applyFont="1" applyAlignment="1">
      <alignment horizontal="left"/>
    </xf>
    <xf numFmtId="0" fontId="9" fillId="0" borderId="0" xfId="0" applyFont="1"/>
    <xf numFmtId="0" fontId="6" fillId="0" borderId="1" xfId="0" applyFont="1" applyBorder="1"/>
    <xf numFmtId="0" fontId="0" fillId="0" borderId="0" xfId="0" applyFont="1"/>
    <xf numFmtId="3" fontId="6" fillId="0" borderId="1" xfId="0" applyNumberFormat="1" applyFont="1" applyBorder="1"/>
    <xf numFmtId="0" fontId="6" fillId="0" borderId="0" xfId="0" applyFont="1" applyAlignment="1">
      <alignment horizontal="center"/>
    </xf>
    <xf numFmtId="49" fontId="12" fillId="0" borderId="0" xfId="0" applyNumberFormat="1" applyFont="1"/>
    <xf numFmtId="49" fontId="12" fillId="0" borderId="0" xfId="0" applyNumberFormat="1" applyFont="1" applyAlignment="1">
      <alignment horizontal="center"/>
    </xf>
    <xf numFmtId="3" fontId="5" fillId="0" borderId="0" xfId="0" applyNumberFormat="1" applyFont="1" applyAlignment="1">
      <alignment horizontal="right"/>
    </xf>
    <xf numFmtId="49" fontId="0" fillId="0" borderId="0" xfId="0" applyNumberFormat="1" applyFont="1"/>
    <xf numFmtId="164" fontId="13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0" applyNumberFormat="1" applyFont="1"/>
    <xf numFmtId="164" fontId="14" fillId="0" borderId="0" xfId="0" applyNumberFormat="1" applyFont="1" applyAlignment="1">
      <alignment horizontal="center"/>
    </xf>
    <xf numFmtId="0" fontId="14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0" fontId="18" fillId="0" borderId="0" xfId="0" applyFont="1"/>
    <xf numFmtId="0" fontId="13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3" fillId="0" borderId="9" xfId="0" applyFont="1" applyBorder="1" applyAlignment="1">
      <alignment horizontal="center" vertical="center"/>
    </xf>
    <xf numFmtId="3" fontId="5" fillId="0" borderId="0" xfId="0" applyNumberFormat="1" applyFont="1" applyAlignment="1">
      <alignment horizontal="left"/>
    </xf>
    <xf numFmtId="49" fontId="13" fillId="0" borderId="9" xfId="0" applyNumberFormat="1" applyFont="1" applyBorder="1" applyAlignment="1">
      <alignment horizontal="center" vertical="center"/>
    </xf>
    <xf numFmtId="0" fontId="23" fillId="0" borderId="0" xfId="0" applyFont="1"/>
    <xf numFmtId="0" fontId="13" fillId="0" borderId="0" xfId="0" applyFont="1" applyAlignment="1">
      <alignment horizontal="center" vertical="center"/>
    </xf>
    <xf numFmtId="164" fontId="25" fillId="0" borderId="0" xfId="0" applyNumberFormat="1" applyFont="1"/>
    <xf numFmtId="0" fontId="9" fillId="0" borderId="0" xfId="0" applyFont="1" applyAlignment="1">
      <alignment horizontal="center" vertical="center"/>
    </xf>
    <xf numFmtId="164" fontId="26" fillId="0" borderId="0" xfId="0" applyNumberFormat="1" applyFont="1"/>
    <xf numFmtId="0" fontId="13" fillId="3" borderId="6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7" xfId="0" applyFont="1" applyBorder="1" applyAlignment="1">
      <alignment vertical="center"/>
    </xf>
    <xf numFmtId="0" fontId="28" fillId="0" borderId="0" xfId="0" applyFont="1"/>
    <xf numFmtId="0" fontId="12" fillId="5" borderId="15" xfId="0" applyFont="1" applyFill="1" applyBorder="1" applyAlignment="1">
      <alignment vertical="center"/>
    </xf>
    <xf numFmtId="49" fontId="12" fillId="5" borderId="15" xfId="0" applyNumberFormat="1" applyFont="1" applyFill="1" applyBorder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12" fillId="3" borderId="6" xfId="0" applyFont="1" applyFill="1" applyBorder="1"/>
    <xf numFmtId="0" fontId="32" fillId="0" borderId="1" xfId="0" applyFont="1" applyBorder="1" applyAlignment="1">
      <alignment vertical="center"/>
    </xf>
    <xf numFmtId="0" fontId="3" fillId="0" borderId="0" xfId="0" applyFont="1"/>
    <xf numFmtId="0" fontId="12" fillId="0" borderId="18" xfId="0" applyFont="1" applyBorder="1"/>
    <xf numFmtId="0" fontId="5" fillId="0" borderId="0" xfId="0" applyFont="1"/>
    <xf numFmtId="164" fontId="28" fillId="7" borderId="6" xfId="0" applyNumberFormat="1" applyFont="1" applyFill="1" applyBorder="1"/>
    <xf numFmtId="0" fontId="38" fillId="8" borderId="6" xfId="0" applyFont="1" applyFill="1" applyBorder="1" applyAlignment="1">
      <alignment horizontal="center"/>
    </xf>
    <xf numFmtId="0" fontId="39" fillId="9" borderId="6" xfId="0" applyFont="1" applyFill="1" applyBorder="1" applyAlignment="1">
      <alignment horizontal="center"/>
    </xf>
    <xf numFmtId="0" fontId="39" fillId="10" borderId="6" xfId="0" applyFont="1" applyFill="1" applyBorder="1" applyAlignment="1">
      <alignment horizontal="center"/>
    </xf>
    <xf numFmtId="0" fontId="39" fillId="11" borderId="6" xfId="0" applyFont="1" applyFill="1" applyBorder="1" applyAlignment="1">
      <alignment horizontal="center"/>
    </xf>
    <xf numFmtId="0" fontId="39" fillId="12" borderId="6" xfId="0" applyFont="1" applyFill="1" applyBorder="1" applyAlignment="1">
      <alignment horizontal="center"/>
    </xf>
    <xf numFmtId="0" fontId="41" fillId="0" borderId="0" xfId="0" applyFont="1"/>
    <xf numFmtId="0" fontId="8" fillId="0" borderId="0" xfId="0" applyFont="1" applyAlignment="1">
      <alignment horizontal="left"/>
    </xf>
    <xf numFmtId="164" fontId="42" fillId="0" borderId="0" xfId="0" applyNumberFormat="1" applyFont="1"/>
    <xf numFmtId="3" fontId="43" fillId="0" borderId="0" xfId="0" applyNumberFormat="1" applyFont="1"/>
    <xf numFmtId="0" fontId="11" fillId="3" borderId="6" xfId="0" applyFont="1" applyFill="1" applyBorder="1"/>
    <xf numFmtId="0" fontId="28" fillId="7" borderId="6" xfId="0" applyFont="1" applyFill="1" applyBorder="1"/>
    <xf numFmtId="0" fontId="36" fillId="8" borderId="6" xfId="0" applyFont="1" applyFill="1" applyBorder="1"/>
    <xf numFmtId="0" fontId="44" fillId="9" borderId="6" xfId="0" applyFont="1" applyFill="1" applyBorder="1"/>
    <xf numFmtId="0" fontId="44" fillId="10" borderId="6" xfId="0" applyFont="1" applyFill="1" applyBorder="1"/>
    <xf numFmtId="0" fontId="44" fillId="11" borderId="6" xfId="0" applyFont="1" applyFill="1" applyBorder="1"/>
    <xf numFmtId="0" fontId="44" fillId="12" borderId="6" xfId="0" applyFont="1" applyFill="1" applyBorder="1"/>
    <xf numFmtId="0" fontId="45" fillId="0" borderId="0" xfId="0" applyFont="1"/>
    <xf numFmtId="0" fontId="25" fillId="0" borderId="0" xfId="0" applyFont="1"/>
    <xf numFmtId="164" fontId="49" fillId="0" borderId="0" xfId="0" applyNumberFormat="1" applyFont="1" applyAlignment="1">
      <alignment shrinkToFit="1"/>
    </xf>
    <xf numFmtId="3" fontId="25" fillId="0" borderId="0" xfId="0" applyNumberFormat="1" applyFont="1"/>
    <xf numFmtId="0" fontId="39" fillId="7" borderId="6" xfId="0" applyFont="1" applyFill="1" applyBorder="1"/>
    <xf numFmtId="0" fontId="44" fillId="9" borderId="6" xfId="0" applyFont="1" applyFill="1" applyBorder="1" applyAlignment="1">
      <alignment horizontal="center"/>
    </xf>
    <xf numFmtId="0" fontId="44" fillId="10" borderId="6" xfId="0" applyFont="1" applyFill="1" applyBorder="1" applyAlignment="1">
      <alignment horizontal="center"/>
    </xf>
    <xf numFmtId="0" fontId="44" fillId="11" borderId="6" xfId="0" applyFont="1" applyFill="1" applyBorder="1" applyAlignment="1">
      <alignment horizontal="center"/>
    </xf>
    <xf numFmtId="0" fontId="44" fillId="12" borderId="6" xfId="0" applyFont="1" applyFill="1" applyBorder="1" applyAlignment="1">
      <alignment horizontal="center"/>
    </xf>
    <xf numFmtId="164" fontId="45" fillId="0" borderId="0" xfId="0" applyNumberFormat="1" applyFont="1"/>
    <xf numFmtId="0" fontId="28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21" fillId="0" borderId="0" xfId="0" applyFont="1"/>
    <xf numFmtId="3" fontId="21" fillId="0" borderId="0" xfId="0" applyNumberFormat="1" applyFont="1" applyAlignment="1">
      <alignment horizontal="right"/>
    </xf>
    <xf numFmtId="3" fontId="21" fillId="0" borderId="0" xfId="0" applyNumberFormat="1" applyFont="1"/>
    <xf numFmtId="0" fontId="12" fillId="0" borderId="12" xfId="0" applyFont="1" applyBorder="1"/>
    <xf numFmtId="0" fontId="12" fillId="5" borderId="1" xfId="0" applyFont="1" applyFill="1" applyBorder="1" applyAlignment="1">
      <alignment vertical="center"/>
    </xf>
    <xf numFmtId="49" fontId="12" fillId="5" borderId="1" xfId="0" applyNumberFormat="1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36" fillId="0" borderId="0" xfId="0" applyFont="1"/>
    <xf numFmtId="3" fontId="12" fillId="13" borderId="6" xfId="0" applyNumberFormat="1" applyFont="1" applyFill="1" applyBorder="1"/>
    <xf numFmtId="3" fontId="12" fillId="0" borderId="0" xfId="0" applyNumberFormat="1" applyFont="1"/>
    <xf numFmtId="3" fontId="51" fillId="0" borderId="0" xfId="0" applyNumberFormat="1" applyFont="1"/>
    <xf numFmtId="1" fontId="5" fillId="0" borderId="0" xfId="0" applyNumberFormat="1" applyFont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3" fontId="28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3" fontId="12" fillId="0" borderId="31" xfId="0" applyNumberFormat="1" applyFont="1" applyBorder="1"/>
    <xf numFmtId="3" fontId="12" fillId="0" borderId="32" xfId="0" applyNumberFormat="1" applyFont="1" applyBorder="1"/>
    <xf numFmtId="0" fontId="12" fillId="5" borderId="24" xfId="0" applyFont="1" applyFill="1" applyBorder="1" applyAlignment="1">
      <alignment vertical="center"/>
    </xf>
    <xf numFmtId="49" fontId="12" fillId="5" borderId="24" xfId="0" applyNumberFormat="1" applyFont="1" applyFill="1" applyBorder="1" applyAlignment="1">
      <alignment vertical="center"/>
    </xf>
    <xf numFmtId="3" fontId="0" fillId="0" borderId="0" xfId="0" applyNumberFormat="1" applyFont="1"/>
    <xf numFmtId="3" fontId="21" fillId="0" borderId="39" xfId="0" applyNumberFormat="1" applyFont="1" applyBorder="1" applyAlignment="1">
      <alignment horizontal="right"/>
    </xf>
    <xf numFmtId="3" fontId="21" fillId="0" borderId="9" xfId="0" applyNumberFormat="1" applyFont="1" applyBorder="1" applyAlignment="1">
      <alignment horizontal="right"/>
    </xf>
    <xf numFmtId="3" fontId="21" fillId="0" borderId="10" xfId="0" applyNumberFormat="1" applyFont="1" applyBorder="1" applyAlignment="1">
      <alignment horizontal="right"/>
    </xf>
    <xf numFmtId="0" fontId="0" fillId="0" borderId="1" xfId="0" applyFont="1" applyBorder="1"/>
    <xf numFmtId="3" fontId="12" fillId="0" borderId="20" xfId="0" applyNumberFormat="1" applyFont="1" applyBorder="1"/>
    <xf numFmtId="3" fontId="12" fillId="0" borderId="1" xfId="0" applyNumberFormat="1" applyFont="1" applyBorder="1"/>
    <xf numFmtId="3" fontId="12" fillId="0" borderId="21" xfId="0" applyNumberFormat="1" applyFont="1" applyBorder="1"/>
    <xf numFmtId="49" fontId="0" fillId="0" borderId="31" xfId="0" applyNumberFormat="1" applyFont="1" applyBorder="1"/>
    <xf numFmtId="3" fontId="12" fillId="0" borderId="41" xfId="0" applyNumberFormat="1" applyFont="1" applyBorder="1"/>
    <xf numFmtId="0" fontId="0" fillId="13" borderId="1" xfId="0" applyFont="1" applyFill="1" applyBorder="1"/>
    <xf numFmtId="0" fontId="12" fillId="0" borderId="28" xfId="0" applyFont="1" applyBorder="1" applyAlignment="1">
      <alignment vertical="center"/>
    </xf>
    <xf numFmtId="49" fontId="12" fillId="0" borderId="28" xfId="0" applyNumberFormat="1" applyFont="1" applyBorder="1" applyAlignment="1">
      <alignment vertical="center"/>
    </xf>
    <xf numFmtId="49" fontId="0" fillId="13" borderId="24" xfId="0" applyNumberFormat="1" applyFont="1" applyFill="1" applyBorder="1"/>
    <xf numFmtId="3" fontId="13" fillId="0" borderId="0" xfId="0" applyNumberFormat="1" applyFont="1"/>
    <xf numFmtId="0" fontId="0" fillId="0" borderId="36" xfId="0" applyFont="1" applyBorder="1" applyAlignment="1">
      <alignment horizontal="right"/>
    </xf>
    <xf numFmtId="49" fontId="0" fillId="0" borderId="37" xfId="0" applyNumberFormat="1" applyFont="1" applyBorder="1" applyAlignment="1">
      <alignment horizontal="right"/>
    </xf>
    <xf numFmtId="0" fontId="0" fillId="0" borderId="38" xfId="0" applyFont="1" applyBorder="1" applyAlignment="1">
      <alignment horizontal="right"/>
    </xf>
    <xf numFmtId="0" fontId="12" fillId="0" borderId="1" xfId="0" applyFont="1" applyBorder="1" applyAlignment="1">
      <alignment vertical="center"/>
    </xf>
    <xf numFmtId="49" fontId="17" fillId="0" borderId="28" xfId="0" applyNumberFormat="1" applyFont="1" applyBorder="1"/>
    <xf numFmtId="49" fontId="12" fillId="0" borderId="1" xfId="0" applyNumberFormat="1" applyFont="1" applyBorder="1" applyAlignment="1">
      <alignment vertical="center"/>
    </xf>
    <xf numFmtId="3" fontId="31" fillId="0" borderId="14" xfId="0" applyNumberFormat="1" applyFont="1" applyBorder="1"/>
    <xf numFmtId="3" fontId="31" fillId="0" borderId="15" xfId="0" applyNumberFormat="1" applyFont="1" applyBorder="1"/>
    <xf numFmtId="3" fontId="31" fillId="0" borderId="16" xfId="0" applyNumberFormat="1" applyFont="1" applyBorder="1"/>
    <xf numFmtId="3" fontId="31" fillId="0" borderId="0" xfId="0" applyNumberFormat="1" applyFont="1"/>
    <xf numFmtId="49" fontId="0" fillId="0" borderId="31" xfId="0" applyNumberFormat="1" applyFont="1" applyBorder="1" applyAlignment="1">
      <alignment horizontal="left"/>
    </xf>
    <xf numFmtId="49" fontId="17" fillId="13" borderId="15" xfId="0" applyNumberFormat="1" applyFont="1" applyFill="1" applyBorder="1"/>
    <xf numFmtId="49" fontId="17" fillId="0" borderId="15" xfId="0" applyNumberFormat="1" applyFont="1" applyBorder="1"/>
    <xf numFmtId="49" fontId="0" fillId="0" borderId="24" xfId="0" applyNumberFormat="1" applyFont="1" applyBorder="1"/>
    <xf numFmtId="49" fontId="0" fillId="13" borderId="24" xfId="0" applyNumberFormat="1" applyFont="1" applyFill="1" applyBorder="1" applyAlignment="1">
      <alignment horizontal="left"/>
    </xf>
    <xf numFmtId="49" fontId="0" fillId="0" borderId="24" xfId="0" applyNumberFormat="1" applyFont="1" applyBorder="1" applyAlignment="1">
      <alignment horizontal="left"/>
    </xf>
    <xf numFmtId="0" fontId="13" fillId="13" borderId="49" xfId="0" applyFont="1" applyFill="1" applyBorder="1"/>
    <xf numFmtId="0" fontId="13" fillId="0" borderId="8" xfId="0" applyFont="1" applyBorder="1" applyAlignment="1">
      <alignment horizontal="right"/>
    </xf>
    <xf numFmtId="49" fontId="13" fillId="0" borderId="9" xfId="0" applyNumberFormat="1" applyFont="1" applyBorder="1" applyAlignment="1">
      <alignment horizontal="center"/>
    </xf>
    <xf numFmtId="0" fontId="13" fillId="0" borderId="10" xfId="0" applyFont="1" applyBorder="1" applyAlignment="1">
      <alignment horizontal="right"/>
    </xf>
    <xf numFmtId="3" fontId="21" fillId="0" borderId="50" xfId="0" applyNumberFormat="1" applyFont="1" applyBorder="1" applyAlignment="1">
      <alignment horizontal="right"/>
    </xf>
    <xf numFmtId="0" fontId="0" fillId="0" borderId="51" xfId="0" applyFont="1" applyBorder="1" applyAlignment="1">
      <alignment vertical="center"/>
    </xf>
    <xf numFmtId="49" fontId="13" fillId="0" borderId="19" xfId="0" applyNumberFormat="1" applyFont="1" applyBorder="1"/>
    <xf numFmtId="0" fontId="0" fillId="0" borderId="15" xfId="0" applyFont="1" applyBorder="1"/>
    <xf numFmtId="3" fontId="0" fillId="0" borderId="15" xfId="0" applyNumberFormat="1" applyFont="1" applyBorder="1"/>
    <xf numFmtId="3" fontId="0" fillId="0" borderId="16" xfId="0" applyNumberFormat="1" applyFont="1" applyBorder="1"/>
    <xf numFmtId="0" fontId="0" fillId="0" borderId="52" xfId="0" applyFont="1" applyBorder="1" applyAlignment="1">
      <alignment vertical="center"/>
    </xf>
    <xf numFmtId="49" fontId="13" fillId="13" borderId="53" xfId="0" applyNumberFormat="1" applyFont="1" applyFill="1" applyBorder="1"/>
    <xf numFmtId="3" fontId="0" fillId="0" borderId="1" xfId="0" applyNumberFormat="1" applyFont="1" applyBorder="1"/>
    <xf numFmtId="3" fontId="0" fillId="0" borderId="21" xfId="0" applyNumberFormat="1" applyFont="1" applyBorder="1"/>
    <xf numFmtId="49" fontId="13" fillId="0" borderId="22" xfId="0" applyNumberFormat="1" applyFont="1" applyBorder="1"/>
    <xf numFmtId="0" fontId="0" fillId="0" borderId="54" xfId="0" applyFont="1" applyBorder="1" applyAlignment="1">
      <alignment vertical="center"/>
    </xf>
    <xf numFmtId="49" fontId="13" fillId="13" borderId="55" xfId="0" applyNumberFormat="1" applyFont="1" applyFill="1" applyBorder="1"/>
    <xf numFmtId="0" fontId="0" fillId="13" borderId="24" xfId="0" applyFont="1" applyFill="1" applyBorder="1"/>
    <xf numFmtId="3" fontId="0" fillId="0" borderId="24" xfId="0" applyNumberFormat="1" applyFont="1" applyBorder="1"/>
    <xf numFmtId="3" fontId="0" fillId="0" borderId="25" xfId="0" applyNumberFormat="1" applyFont="1" applyBorder="1"/>
    <xf numFmtId="0" fontId="0" fillId="0" borderId="56" xfId="0" applyFont="1" applyBorder="1" applyAlignment="1">
      <alignment vertical="center"/>
    </xf>
    <xf numFmtId="49" fontId="17" fillId="13" borderId="57" xfId="0" applyNumberFormat="1" applyFont="1" applyFill="1" applyBorder="1"/>
    <xf numFmtId="0" fontId="31" fillId="13" borderId="35" xfId="0" applyFont="1" applyFill="1" applyBorder="1"/>
    <xf numFmtId="3" fontId="0" fillId="0" borderId="28" xfId="0" applyNumberFormat="1" applyFont="1" applyBorder="1"/>
    <xf numFmtId="3" fontId="0" fillId="0" borderId="29" xfId="0" applyNumberFormat="1" applyFont="1" applyBorder="1"/>
    <xf numFmtId="49" fontId="17" fillId="13" borderId="53" xfId="0" applyNumberFormat="1" applyFont="1" applyFill="1" applyBorder="1"/>
    <xf numFmtId="0" fontId="31" fillId="13" borderId="1" xfId="0" applyFont="1" applyFill="1" applyBorder="1"/>
    <xf numFmtId="49" fontId="17" fillId="0" borderId="22" xfId="0" applyNumberFormat="1" applyFont="1" applyBorder="1"/>
    <xf numFmtId="0" fontId="31" fillId="0" borderId="1" xfId="0" applyFont="1" applyBorder="1"/>
    <xf numFmtId="49" fontId="17" fillId="0" borderId="58" xfId="0" applyNumberFormat="1" applyFont="1" applyBorder="1"/>
    <xf numFmtId="0" fontId="31" fillId="0" borderId="24" xfId="0" applyFont="1" applyBorder="1"/>
    <xf numFmtId="0" fontId="12" fillId="0" borderId="31" xfId="0" applyFont="1" applyBorder="1" applyAlignment="1">
      <alignment vertical="center"/>
    </xf>
    <xf numFmtId="49" fontId="12" fillId="0" borderId="31" xfId="0" applyNumberFormat="1" applyFont="1" applyBorder="1" applyAlignment="1">
      <alignment vertical="center"/>
    </xf>
    <xf numFmtId="0" fontId="6" fillId="0" borderId="0" xfId="0" applyFont="1" applyAlignment="1">
      <alignment horizontal="right"/>
    </xf>
    <xf numFmtId="0" fontId="61" fillId="0" borderId="0" xfId="0" applyFont="1"/>
    <xf numFmtId="0" fontId="20" fillId="0" borderId="0" xfId="0" applyFont="1"/>
    <xf numFmtId="0" fontId="12" fillId="0" borderId="27" xfId="0" applyFont="1" applyBorder="1" applyAlignment="1">
      <alignment vertical="center"/>
    </xf>
    <xf numFmtId="49" fontId="12" fillId="0" borderId="27" xfId="0" applyNumberFormat="1" applyFont="1" applyBorder="1" applyAlignment="1">
      <alignment vertical="center"/>
    </xf>
    <xf numFmtId="0" fontId="9" fillId="0" borderId="12" xfId="0" applyFont="1" applyBorder="1" applyAlignment="1">
      <alignment horizontal="center" vertical="center"/>
    </xf>
    <xf numFmtId="0" fontId="6" fillId="0" borderId="12" xfId="0" applyFont="1" applyBorder="1"/>
    <xf numFmtId="0" fontId="30" fillId="0" borderId="64" xfId="0" applyFont="1" applyBorder="1"/>
    <xf numFmtId="3" fontId="0" fillId="0" borderId="0" xfId="0" applyNumberFormat="1" applyFont="1" applyAlignment="1"/>
    <xf numFmtId="0" fontId="6" fillId="0" borderId="65" xfId="0" applyFont="1" applyBorder="1"/>
    <xf numFmtId="3" fontId="6" fillId="0" borderId="65" xfId="0" applyNumberFormat="1" applyFont="1" applyBorder="1"/>
    <xf numFmtId="3" fontId="21" fillId="0" borderId="44" xfId="0" applyNumberFormat="1" applyFont="1" applyBorder="1"/>
    <xf numFmtId="49" fontId="13" fillId="15" borderId="65" xfId="0" applyNumberFormat="1" applyFont="1" applyFill="1" applyBorder="1"/>
    <xf numFmtId="0" fontId="0" fillId="15" borderId="65" xfId="0" applyFont="1" applyFill="1" applyBorder="1"/>
    <xf numFmtId="3" fontId="12" fillId="15" borderId="65" xfId="0" applyNumberFormat="1" applyFont="1" applyFill="1" applyBorder="1"/>
    <xf numFmtId="0" fontId="0" fillId="17" borderId="65" xfId="0" applyFont="1" applyFill="1" applyBorder="1"/>
    <xf numFmtId="3" fontId="12" fillId="17" borderId="65" xfId="0" applyNumberFormat="1" applyFont="1" applyFill="1" applyBorder="1"/>
    <xf numFmtId="0" fontId="0" fillId="18" borderId="65" xfId="0" applyFont="1" applyFill="1" applyBorder="1"/>
    <xf numFmtId="3" fontId="12" fillId="18" borderId="65" xfId="0" applyNumberFormat="1" applyFont="1" applyFill="1" applyBorder="1"/>
    <xf numFmtId="0" fontId="0" fillId="19" borderId="65" xfId="0" applyFont="1" applyFill="1" applyBorder="1"/>
    <xf numFmtId="3" fontId="12" fillId="19" borderId="65" xfId="0" applyNumberFormat="1" applyFont="1" applyFill="1" applyBorder="1"/>
    <xf numFmtId="49" fontId="0" fillId="15" borderId="66" xfId="0" applyNumberFormat="1" applyFont="1" applyFill="1" applyBorder="1"/>
    <xf numFmtId="3" fontId="56" fillId="16" borderId="66" xfId="0" applyNumberFormat="1" applyFont="1" applyFill="1" applyBorder="1"/>
    <xf numFmtId="3" fontId="12" fillId="15" borderId="66" xfId="0" applyNumberFormat="1" applyFont="1" applyFill="1" applyBorder="1"/>
    <xf numFmtId="49" fontId="0" fillId="17" borderId="66" xfId="0" applyNumberFormat="1" applyFont="1" applyFill="1" applyBorder="1"/>
    <xf numFmtId="3" fontId="12" fillId="17" borderId="66" xfId="0" applyNumberFormat="1" applyFont="1" applyFill="1" applyBorder="1"/>
    <xf numFmtId="49" fontId="13" fillId="15" borderId="67" xfId="0" applyNumberFormat="1" applyFont="1" applyFill="1" applyBorder="1"/>
    <xf numFmtId="3" fontId="12" fillId="15" borderId="67" xfId="0" applyNumberFormat="1" applyFont="1" applyFill="1" applyBorder="1"/>
    <xf numFmtId="49" fontId="13" fillId="17" borderId="67" xfId="0" applyNumberFormat="1" applyFont="1" applyFill="1" applyBorder="1"/>
    <xf numFmtId="3" fontId="12" fillId="17" borderId="67" xfId="0" applyNumberFormat="1" applyFont="1" applyFill="1" applyBorder="1"/>
    <xf numFmtId="0" fontId="13" fillId="15" borderId="67" xfId="0" applyFont="1" applyFill="1" applyBorder="1"/>
    <xf numFmtId="3" fontId="21" fillId="15" borderId="67" xfId="0" applyNumberFormat="1" applyFont="1" applyFill="1" applyBorder="1"/>
    <xf numFmtId="49" fontId="13" fillId="18" borderId="69" xfId="0" applyNumberFormat="1" applyFont="1" applyFill="1" applyBorder="1"/>
    <xf numFmtId="3" fontId="12" fillId="18" borderId="69" xfId="0" applyNumberFormat="1" applyFont="1" applyFill="1" applyBorder="1"/>
    <xf numFmtId="3" fontId="12" fillId="18" borderId="70" xfId="0" applyNumberFormat="1" applyFont="1" applyFill="1" applyBorder="1"/>
    <xf numFmtId="3" fontId="12" fillId="18" borderId="72" xfId="0" applyNumberFormat="1" applyFont="1" applyFill="1" applyBorder="1"/>
    <xf numFmtId="49" fontId="0" fillId="18" borderId="74" xfId="0" applyNumberFormat="1" applyFont="1" applyFill="1" applyBorder="1"/>
    <xf numFmtId="3" fontId="12" fillId="18" borderId="74" xfId="0" applyNumberFormat="1" applyFont="1" applyFill="1" applyBorder="1"/>
    <xf numFmtId="3" fontId="12" fillId="18" borderId="75" xfId="0" applyNumberFormat="1" applyFont="1" applyFill="1" applyBorder="1"/>
    <xf numFmtId="49" fontId="13" fillId="19" borderId="69" xfId="0" applyNumberFormat="1" applyFont="1" applyFill="1" applyBorder="1"/>
    <xf numFmtId="3" fontId="12" fillId="19" borderId="69" xfId="0" applyNumberFormat="1" applyFont="1" applyFill="1" applyBorder="1"/>
    <xf numFmtId="3" fontId="12" fillId="19" borderId="70" xfId="0" applyNumberFormat="1" applyFont="1" applyFill="1" applyBorder="1"/>
    <xf numFmtId="3" fontId="12" fillId="19" borderId="72" xfId="0" applyNumberFormat="1" applyFont="1" applyFill="1" applyBorder="1"/>
    <xf numFmtId="49" fontId="0" fillId="19" borderId="74" xfId="0" applyNumberFormat="1" applyFont="1" applyFill="1" applyBorder="1"/>
    <xf numFmtId="3" fontId="12" fillId="19" borderId="74" xfId="0" applyNumberFormat="1" applyFont="1" applyFill="1" applyBorder="1"/>
    <xf numFmtId="3" fontId="12" fillId="19" borderId="75" xfId="0" applyNumberFormat="1" applyFont="1" applyFill="1" applyBorder="1"/>
    <xf numFmtId="0" fontId="13" fillId="0" borderId="61" xfId="0" applyFont="1" applyBorder="1" applyAlignment="1">
      <alignment horizontal="right"/>
    </xf>
    <xf numFmtId="0" fontId="0" fillId="18" borderId="78" xfId="0" applyFont="1" applyFill="1" applyBorder="1"/>
    <xf numFmtId="0" fontId="0" fillId="18" borderId="79" xfId="0" applyFont="1" applyFill="1" applyBorder="1"/>
    <xf numFmtId="3" fontId="21" fillId="0" borderId="81" xfId="0" applyNumberFormat="1" applyFont="1" applyBorder="1" applyAlignment="1">
      <alignment horizontal="right"/>
    </xf>
    <xf numFmtId="3" fontId="21" fillId="0" borderId="82" xfId="0" applyNumberFormat="1" applyFont="1" applyBorder="1" applyAlignment="1">
      <alignment horizontal="right"/>
    </xf>
    <xf numFmtId="3" fontId="21" fillId="0" borderId="83" xfId="0" applyNumberFormat="1" applyFont="1" applyBorder="1" applyAlignment="1">
      <alignment horizontal="right"/>
    </xf>
    <xf numFmtId="3" fontId="0" fillId="15" borderId="71" xfId="0" applyNumberFormat="1" applyFont="1" applyFill="1" applyBorder="1"/>
    <xf numFmtId="3" fontId="12" fillId="15" borderId="72" xfId="0" applyNumberFormat="1" applyFont="1" applyFill="1" applyBorder="1"/>
    <xf numFmtId="3" fontId="12" fillId="15" borderId="85" xfId="0" applyNumberFormat="1" applyFont="1" applyFill="1" applyBorder="1"/>
    <xf numFmtId="3" fontId="0" fillId="18" borderId="68" xfId="0" applyNumberFormat="1" applyFont="1" applyFill="1" applyBorder="1"/>
    <xf numFmtId="3" fontId="0" fillId="15" borderId="86" xfId="0" applyNumberFormat="1" applyFont="1" applyFill="1" applyBorder="1"/>
    <xf numFmtId="3" fontId="12" fillId="15" borderId="87" xfId="0" applyNumberFormat="1" applyFont="1" applyFill="1" applyBorder="1"/>
    <xf numFmtId="3" fontId="0" fillId="19" borderId="68" xfId="0" applyNumberFormat="1" applyFont="1" applyFill="1" applyBorder="1"/>
    <xf numFmtId="3" fontId="0" fillId="17" borderId="86" xfId="0" applyNumberFormat="1" applyFont="1" applyFill="1" applyBorder="1"/>
    <xf numFmtId="3" fontId="12" fillId="17" borderId="87" xfId="0" applyNumberFormat="1" applyFont="1" applyFill="1" applyBorder="1"/>
    <xf numFmtId="3" fontId="12" fillId="17" borderId="72" xfId="0" applyNumberFormat="1" applyFont="1" applyFill="1" applyBorder="1"/>
    <xf numFmtId="3" fontId="12" fillId="17" borderId="85" xfId="0" applyNumberFormat="1" applyFont="1" applyFill="1" applyBorder="1"/>
    <xf numFmtId="0" fontId="0" fillId="0" borderId="0" xfId="0" applyFont="1" applyAlignment="1"/>
    <xf numFmtId="3" fontId="66" fillId="0" borderId="0" xfId="0" applyNumberFormat="1" applyFont="1"/>
    <xf numFmtId="0" fontId="6" fillId="0" borderId="43" xfId="0" applyFont="1" applyBorder="1"/>
    <xf numFmtId="0" fontId="0" fillId="0" borderId="0" xfId="0" applyFont="1" applyAlignme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2" fillId="0" borderId="44" xfId="0" applyFont="1" applyBorder="1" applyAlignment="1">
      <alignment vertical="center"/>
    </xf>
    <xf numFmtId="49" fontId="12" fillId="0" borderId="44" xfId="0" applyNumberFormat="1" applyFont="1" applyBorder="1" applyAlignment="1">
      <alignment vertical="center"/>
    </xf>
    <xf numFmtId="0" fontId="12" fillId="5" borderId="95" xfId="0" applyFont="1" applyFill="1" applyBorder="1" applyAlignment="1">
      <alignment vertical="center"/>
    </xf>
    <xf numFmtId="49" fontId="12" fillId="5" borderId="95" xfId="0" applyNumberFormat="1" applyFont="1" applyFill="1" applyBorder="1" applyAlignment="1">
      <alignment vertical="center"/>
    </xf>
    <xf numFmtId="0" fontId="70" fillId="21" borderId="2" xfId="0" applyFont="1" applyFill="1" applyBorder="1" applyAlignment="1">
      <alignment vertical="center"/>
    </xf>
    <xf numFmtId="0" fontId="7" fillId="23" borderId="6" xfId="0" applyFont="1" applyFill="1" applyBorder="1" applyAlignment="1">
      <alignment horizontal="center" vertical="center"/>
    </xf>
    <xf numFmtId="164" fontId="3" fillId="0" borderId="43" xfId="0" applyNumberFormat="1" applyFont="1" applyBorder="1"/>
    <xf numFmtId="164" fontId="16" fillId="0" borderId="43" xfId="0" applyNumberFormat="1" applyFont="1" applyBorder="1" applyAlignment="1">
      <alignment vertical="center" wrapText="1"/>
    </xf>
    <xf numFmtId="164" fontId="19" fillId="0" borderId="43" xfId="0" applyNumberFormat="1" applyFont="1" applyBorder="1" applyAlignment="1">
      <alignment horizontal="center" vertical="center" wrapText="1"/>
    </xf>
    <xf numFmtId="164" fontId="25" fillId="0" borderId="43" xfId="0" applyNumberFormat="1" applyFont="1" applyBorder="1"/>
    <xf numFmtId="164" fontId="26" fillId="0" borderId="43" xfId="0" applyNumberFormat="1" applyFont="1" applyBorder="1"/>
    <xf numFmtId="0" fontId="24" fillId="0" borderId="43" xfId="0" applyFont="1" applyBorder="1" applyAlignment="1">
      <alignment horizontal="center" vertical="center" wrapText="1"/>
    </xf>
    <xf numFmtId="0" fontId="0" fillId="0" borderId="43" xfId="0" applyFont="1" applyBorder="1"/>
    <xf numFmtId="0" fontId="28" fillId="0" borderId="43" xfId="0" applyFont="1" applyBorder="1"/>
    <xf numFmtId="3" fontId="28" fillId="0" borderId="43" xfId="0" applyNumberFormat="1" applyFont="1" applyBorder="1" applyAlignment="1">
      <alignment horizontal="left"/>
    </xf>
    <xf numFmtId="0" fontId="27" fillId="0" borderId="43" xfId="0" applyFont="1" applyBorder="1" applyAlignment="1">
      <alignment vertical="center"/>
    </xf>
    <xf numFmtId="0" fontId="28" fillId="0" borderId="43" xfId="0" applyFont="1" applyBorder="1" applyAlignment="1">
      <alignment vertical="center"/>
    </xf>
    <xf numFmtId="0" fontId="33" fillId="0" borderId="43" xfId="0" applyFont="1" applyBorder="1"/>
    <xf numFmtId="0" fontId="34" fillId="0" borderId="43" xfId="0" applyFont="1" applyBorder="1" applyAlignment="1">
      <alignment horizontal="right"/>
    </xf>
    <xf numFmtId="0" fontId="35" fillId="0" borderId="43" xfId="0" applyFont="1" applyBorder="1"/>
    <xf numFmtId="0" fontId="36" fillId="0" borderId="43" xfId="0" applyFont="1" applyBorder="1" applyAlignment="1">
      <alignment vertical="center"/>
    </xf>
    <xf numFmtId="0" fontId="37" fillId="0" borderId="43" xfId="0" applyFont="1" applyBorder="1"/>
    <xf numFmtId="0" fontId="3" fillId="0" borderId="43" xfId="0" applyFont="1" applyBorder="1"/>
    <xf numFmtId="0" fontId="5" fillId="0" borderId="43" xfId="0" applyFont="1" applyBorder="1"/>
    <xf numFmtId="0" fontId="40" fillId="0" borderId="43" xfId="0" applyFont="1" applyBorder="1"/>
    <xf numFmtId="0" fontId="5" fillId="0" borderId="43" xfId="0" applyFont="1" applyBorder="1" applyAlignment="1">
      <alignment horizontal="left"/>
    </xf>
    <xf numFmtId="0" fontId="41" fillId="0" borderId="43" xfId="0" applyFont="1" applyBorder="1"/>
    <xf numFmtId="0" fontId="6" fillId="0" borderId="43" xfId="0" applyFont="1" applyBorder="1" applyAlignment="1">
      <alignment vertical="center"/>
    </xf>
    <xf numFmtId="0" fontId="8" fillId="0" borderId="43" xfId="0" applyFont="1" applyBorder="1" applyAlignment="1">
      <alignment horizontal="left"/>
    </xf>
    <xf numFmtId="164" fontId="41" fillId="0" borderId="43" xfId="0" applyNumberFormat="1" applyFont="1" applyBorder="1" applyAlignment="1">
      <alignment horizontal="right"/>
    </xf>
    <xf numFmtId="164" fontId="5" fillId="0" borderId="43" xfId="0" applyNumberFormat="1" applyFont="1" applyBorder="1" applyAlignment="1">
      <alignment horizontal="right"/>
    </xf>
    <xf numFmtId="164" fontId="42" fillId="0" borderId="43" xfId="0" applyNumberFormat="1" applyFont="1" applyBorder="1"/>
    <xf numFmtId="0" fontId="15" fillId="0" borderId="43" xfId="0" applyFont="1" applyBorder="1"/>
    <xf numFmtId="164" fontId="5" fillId="0" borderId="43" xfId="0" applyNumberFormat="1" applyFont="1" applyBorder="1"/>
    <xf numFmtId="164" fontId="41" fillId="0" borderId="43" xfId="0" applyNumberFormat="1" applyFont="1" applyBorder="1"/>
    <xf numFmtId="164" fontId="45" fillId="0" borderId="43" xfId="0" applyNumberFormat="1" applyFont="1" applyBorder="1" applyAlignment="1">
      <alignment horizontal="center"/>
    </xf>
    <xf numFmtId="164" fontId="46" fillId="0" borderId="43" xfId="0" applyNumberFormat="1" applyFont="1" applyBorder="1"/>
    <xf numFmtId="3" fontId="47" fillId="0" borderId="43" xfId="0" applyNumberFormat="1" applyFont="1" applyBorder="1"/>
    <xf numFmtId="164" fontId="48" fillId="0" borderId="43" xfId="0" applyNumberFormat="1" applyFont="1" applyBorder="1" applyAlignment="1">
      <alignment horizontal="right"/>
    </xf>
    <xf numFmtId="0" fontId="45" fillId="0" borderId="43" xfId="0" applyFont="1" applyBorder="1"/>
    <xf numFmtId="0" fontId="46" fillId="0" borderId="43" xfId="0" applyFont="1" applyBorder="1"/>
    <xf numFmtId="0" fontId="25" fillId="0" borderId="43" xfId="0" applyFont="1" applyBorder="1"/>
    <xf numFmtId="3" fontId="5" fillId="0" borderId="43" xfId="0" applyNumberFormat="1" applyFont="1" applyBorder="1" applyAlignment="1">
      <alignment horizontal="left"/>
    </xf>
    <xf numFmtId="164" fontId="5" fillId="0" borderId="43" xfId="0" applyNumberFormat="1" applyFont="1" applyBorder="1" applyAlignment="1">
      <alignment horizontal="center"/>
    </xf>
    <xf numFmtId="164" fontId="45" fillId="0" borderId="43" xfId="0" applyNumberFormat="1" applyFont="1" applyBorder="1"/>
    <xf numFmtId="3" fontId="47" fillId="0" borderId="43" xfId="0" applyNumberFormat="1" applyFont="1" applyBorder="1" applyAlignment="1">
      <alignment horizontal="left"/>
    </xf>
    <xf numFmtId="164" fontId="46" fillId="0" borderId="43" xfId="0" applyNumberFormat="1" applyFont="1" applyBorder="1" applyAlignment="1">
      <alignment horizontal="center"/>
    </xf>
    <xf numFmtId="165" fontId="5" fillId="0" borderId="43" xfId="0" applyNumberFormat="1" applyFont="1" applyBorder="1"/>
    <xf numFmtId="0" fontId="11" fillId="0" borderId="43" xfId="0" applyFont="1" applyBorder="1"/>
    <xf numFmtId="1" fontId="5" fillId="0" borderId="43" xfId="0" applyNumberFormat="1" applyFont="1" applyBorder="1" applyAlignment="1">
      <alignment horizontal="center" vertical="center"/>
    </xf>
    <xf numFmtId="49" fontId="45" fillId="0" borderId="43" xfId="0" applyNumberFormat="1" applyFont="1" applyBorder="1" applyAlignment="1">
      <alignment horizontal="left" vertical="center"/>
    </xf>
    <xf numFmtId="0" fontId="52" fillId="0" borderId="43" xfId="0" applyFont="1" applyBorder="1" applyAlignment="1">
      <alignment horizontal="left"/>
    </xf>
    <xf numFmtId="0" fontId="0" fillId="0" borderId="43" xfId="0" applyFont="1" applyBorder="1" applyAlignment="1"/>
    <xf numFmtId="0" fontId="5" fillId="0" borderId="43" xfId="0" applyFont="1" applyBorder="1" applyAlignment="1">
      <alignment horizontal="center"/>
    </xf>
    <xf numFmtId="164" fontId="5" fillId="0" borderId="43" xfId="0" applyNumberFormat="1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49" fillId="0" borderId="43" xfId="0" applyFont="1" applyBorder="1"/>
    <xf numFmtId="0" fontId="22" fillId="0" borderId="43" xfId="0" applyFont="1" applyBorder="1" applyAlignment="1">
      <alignment horizontal="right"/>
    </xf>
    <xf numFmtId="0" fontId="54" fillId="0" borderId="43" xfId="0" applyFont="1" applyBorder="1"/>
    <xf numFmtId="0" fontId="12" fillId="0" borderId="43" xfId="0" applyFont="1" applyBorder="1"/>
    <xf numFmtId="0" fontId="71" fillId="0" borderId="0" xfId="0" applyFont="1"/>
    <xf numFmtId="0" fontId="70" fillId="22" borderId="0" xfId="0" applyFont="1" applyFill="1" applyAlignment="1">
      <alignment vertical="center"/>
    </xf>
    <xf numFmtId="0" fontId="0" fillId="0" borderId="98" xfId="0" applyFont="1" applyBorder="1" applyAlignment="1">
      <alignment horizontal="right"/>
    </xf>
    <xf numFmtId="0" fontId="0" fillId="0" borderId="43" xfId="0" applyFont="1" applyBorder="1" applyAlignment="1">
      <alignment horizontal="right"/>
    </xf>
    <xf numFmtId="0" fontId="5" fillId="6" borderId="98" xfId="0" applyFont="1" applyFill="1" applyBorder="1"/>
    <xf numFmtId="0" fontId="0" fillId="0" borderId="0" xfId="0" applyFont="1" applyAlignment="1"/>
    <xf numFmtId="2" fontId="17" fillId="0" borderId="43" xfId="0" applyNumberFormat="1" applyFont="1" applyFill="1" applyBorder="1" applyAlignment="1">
      <alignment horizontal="center"/>
    </xf>
    <xf numFmtId="3" fontId="12" fillId="0" borderId="43" xfId="0" applyNumberFormat="1" applyFont="1" applyBorder="1"/>
    <xf numFmtId="3" fontId="12" fillId="0" borderId="65" xfId="0" applyNumberFormat="1" applyFont="1" applyBorder="1"/>
    <xf numFmtId="0" fontId="0" fillId="0" borderId="0" xfId="0" applyFont="1" applyAlignment="1"/>
    <xf numFmtId="3" fontId="0" fillId="0" borderId="65" xfId="0" applyNumberFormat="1" applyFont="1" applyBorder="1" applyAlignment="1"/>
    <xf numFmtId="3" fontId="12" fillId="0" borderId="72" xfId="0" applyNumberFormat="1" applyFont="1" applyBorder="1"/>
    <xf numFmtId="3" fontId="0" fillId="0" borderId="72" xfId="0" applyNumberFormat="1" applyFont="1" applyBorder="1" applyAlignment="1"/>
    <xf numFmtId="0" fontId="4" fillId="0" borderId="104" xfId="0" applyFont="1" applyBorder="1"/>
    <xf numFmtId="0" fontId="4" fillId="0" borderId="103" xfId="0" applyFont="1" applyBorder="1"/>
    <xf numFmtId="3" fontId="12" fillId="0" borderId="69" xfId="0" applyNumberFormat="1" applyFont="1" applyBorder="1"/>
    <xf numFmtId="3" fontId="12" fillId="0" borderId="70" xfId="0" applyNumberFormat="1" applyFont="1" applyBorder="1"/>
    <xf numFmtId="3" fontId="12" fillId="0" borderId="74" xfId="0" applyNumberFormat="1" applyFont="1" applyBorder="1"/>
    <xf numFmtId="3" fontId="12" fillId="0" borderId="75" xfId="0" applyNumberFormat="1" applyFont="1" applyBorder="1"/>
    <xf numFmtId="3" fontId="12" fillId="0" borderId="66" xfId="0" applyNumberFormat="1" applyFont="1" applyBorder="1"/>
    <xf numFmtId="3" fontId="0" fillId="0" borderId="69" xfId="0" applyNumberFormat="1" applyFont="1" applyBorder="1" applyAlignment="1"/>
    <xf numFmtId="0" fontId="31" fillId="0" borderId="104" xfId="0" applyFont="1" applyBorder="1"/>
    <xf numFmtId="0" fontId="13" fillId="0" borderId="43" xfId="0" applyFont="1" applyFill="1" applyBorder="1"/>
    <xf numFmtId="0" fontId="0" fillId="0" borderId="0" xfId="0" applyFont="1" applyAlignment="1"/>
    <xf numFmtId="0" fontId="0" fillId="0" borderId="0" xfId="0" applyFont="1" applyAlignment="1"/>
    <xf numFmtId="3" fontId="59" fillId="0" borderId="0" xfId="0" applyNumberFormat="1" applyFont="1"/>
    <xf numFmtId="3" fontId="59" fillId="0" borderId="0" xfId="0" applyNumberFormat="1" applyFont="1" applyAlignment="1">
      <alignment horizontal="left"/>
    </xf>
    <xf numFmtId="3" fontId="59" fillId="0" borderId="65" xfId="0" applyNumberFormat="1" applyFont="1" applyBorder="1" applyAlignment="1"/>
    <xf numFmtId="3" fontId="59" fillId="0" borderId="65" xfId="0" applyNumberFormat="1" applyFont="1" applyBorder="1"/>
    <xf numFmtId="3" fontId="59" fillId="0" borderId="72" xfId="0" applyNumberFormat="1" applyFont="1" applyBorder="1"/>
    <xf numFmtId="3" fontId="59" fillId="0" borderId="74" xfId="0" applyNumberFormat="1" applyFont="1" applyBorder="1"/>
    <xf numFmtId="3" fontId="59" fillId="0" borderId="71" xfId="0" applyNumberFormat="1" applyFont="1" applyBorder="1" applyAlignment="1"/>
    <xf numFmtId="3" fontId="59" fillId="0" borderId="71" xfId="0" applyNumberFormat="1" applyFont="1" applyBorder="1"/>
    <xf numFmtId="3" fontId="74" fillId="15" borderId="65" xfId="0" applyNumberFormat="1" applyFont="1" applyFill="1" applyBorder="1"/>
    <xf numFmtId="3" fontId="74" fillId="18" borderId="65" xfId="0" applyNumberFormat="1" applyFont="1" applyFill="1" applyBorder="1"/>
    <xf numFmtId="3" fontId="74" fillId="18" borderId="72" xfId="0" applyNumberFormat="1" applyFont="1" applyFill="1" applyBorder="1"/>
    <xf numFmtId="3" fontId="74" fillId="0" borderId="20" xfId="0" applyNumberFormat="1" applyFont="1" applyBorder="1"/>
    <xf numFmtId="3" fontId="74" fillId="0" borderId="1" xfId="0" applyNumberFormat="1" applyFont="1" applyBorder="1"/>
    <xf numFmtId="3" fontId="74" fillId="0" borderId="21" xfId="0" applyNumberFormat="1" applyFont="1" applyBorder="1"/>
    <xf numFmtId="3" fontId="73" fillId="13" borderId="115" xfId="0" applyNumberFormat="1" applyFont="1" applyFill="1" applyBorder="1"/>
    <xf numFmtId="0" fontId="0" fillId="0" borderId="0" xfId="0" applyFont="1" applyAlignment="1"/>
    <xf numFmtId="0" fontId="12" fillId="5" borderId="65" xfId="0" applyFont="1" applyFill="1" applyBorder="1" applyAlignment="1">
      <alignment vertical="center"/>
    </xf>
    <xf numFmtId="49" fontId="12" fillId="5" borderId="65" xfId="0" applyNumberFormat="1" applyFont="1" applyFill="1" applyBorder="1" applyAlignment="1">
      <alignment vertical="center"/>
    </xf>
    <xf numFmtId="0" fontId="12" fillId="5" borderId="69" xfId="0" applyFont="1" applyFill="1" applyBorder="1" applyAlignment="1">
      <alignment vertical="center"/>
    </xf>
    <xf numFmtId="49" fontId="12" fillId="5" borderId="69" xfId="0" applyNumberFormat="1" applyFont="1" applyFill="1" applyBorder="1" applyAlignment="1">
      <alignment vertical="center"/>
    </xf>
    <xf numFmtId="0" fontId="12" fillId="5" borderId="74" xfId="0" applyFont="1" applyFill="1" applyBorder="1" applyAlignment="1">
      <alignment vertical="center"/>
    </xf>
    <xf numFmtId="49" fontId="12" fillId="5" borderId="74" xfId="0" applyNumberFormat="1" applyFont="1" applyFill="1" applyBorder="1" applyAlignment="1">
      <alignment vertical="center"/>
    </xf>
    <xf numFmtId="0" fontId="28" fillId="0" borderId="65" xfId="0" applyFont="1" applyBorder="1"/>
    <xf numFmtId="3" fontId="28" fillId="0" borderId="0" xfId="0" applyNumberFormat="1" applyFont="1"/>
    <xf numFmtId="3" fontId="12" fillId="0" borderId="0" xfId="0" applyNumberFormat="1" applyFont="1" applyAlignment="1"/>
    <xf numFmtId="0" fontId="5" fillId="0" borderId="43" xfId="0" applyFont="1" applyBorder="1" applyAlignment="1">
      <alignment horizontal="center" vertical="center"/>
    </xf>
    <xf numFmtId="0" fontId="6" fillId="0" borderId="35" xfId="0" applyFont="1" applyBorder="1"/>
    <xf numFmtId="0" fontId="0" fillId="0" borderId="0" xfId="0" applyFont="1" applyAlignment="1"/>
    <xf numFmtId="49" fontId="13" fillId="25" borderId="43" xfId="0" applyNumberFormat="1" applyFont="1" applyFill="1" applyBorder="1" applyAlignment="1">
      <alignment horizontal="left"/>
    </xf>
    <xf numFmtId="3" fontId="59" fillId="25" borderId="43" xfId="0" applyNumberFormat="1" applyFont="1" applyFill="1" applyBorder="1"/>
    <xf numFmtId="0" fontId="13" fillId="13" borderId="43" xfId="0" applyFont="1" applyFill="1" applyBorder="1"/>
    <xf numFmtId="49" fontId="17" fillId="15" borderId="116" xfId="0" applyNumberFormat="1" applyFont="1" applyFill="1" applyBorder="1" applyAlignment="1">
      <alignment horizontal="center"/>
    </xf>
    <xf numFmtId="0" fontId="0" fillId="18" borderId="43" xfId="0" applyFont="1" applyFill="1" applyBorder="1"/>
    <xf numFmtId="3" fontId="73" fillId="13" borderId="43" xfId="0" applyNumberFormat="1" applyFont="1" applyFill="1" applyBorder="1"/>
    <xf numFmtId="49" fontId="13" fillId="25" borderId="106" xfId="0" applyNumberFormat="1" applyFont="1" applyFill="1" applyBorder="1" applyAlignment="1">
      <alignment horizontal="left"/>
    </xf>
    <xf numFmtId="49" fontId="13" fillId="25" borderId="116" xfId="0" applyNumberFormat="1" applyFont="1" applyFill="1" applyBorder="1" applyAlignment="1">
      <alignment horizontal="left"/>
    </xf>
    <xf numFmtId="3" fontId="59" fillId="25" borderId="116" xfId="0" applyNumberFormat="1" applyFont="1" applyFill="1" applyBorder="1"/>
    <xf numFmtId="3" fontId="59" fillId="25" borderId="117" xfId="0" applyNumberFormat="1" applyFont="1" applyFill="1" applyBorder="1"/>
    <xf numFmtId="49" fontId="13" fillId="25" borderId="118" xfId="0" applyNumberFormat="1" applyFont="1" applyFill="1" applyBorder="1" applyAlignment="1">
      <alignment horizontal="left"/>
    </xf>
    <xf numFmtId="3" fontId="59" fillId="25" borderId="119" xfId="0" applyNumberFormat="1" applyFont="1" applyFill="1" applyBorder="1"/>
    <xf numFmtId="3" fontId="21" fillId="0" borderId="78" xfId="0" applyNumberFormat="1" applyFont="1" applyBorder="1" applyAlignment="1">
      <alignment horizontal="right"/>
    </xf>
    <xf numFmtId="3" fontId="21" fillId="0" borderId="68" xfId="0" applyNumberFormat="1" applyFont="1" applyBorder="1" applyAlignment="1">
      <alignment horizontal="right"/>
    </xf>
    <xf numFmtId="3" fontId="21" fillId="0" borderId="69" xfId="0" applyNumberFormat="1" applyFont="1" applyBorder="1" applyAlignment="1">
      <alignment horizontal="right"/>
    </xf>
    <xf numFmtId="3" fontId="21" fillId="0" borderId="70" xfId="0" applyNumberFormat="1" applyFont="1" applyBorder="1" applyAlignment="1">
      <alignment horizontal="right"/>
    </xf>
    <xf numFmtId="3" fontId="59" fillId="0" borderId="72" xfId="0" applyNumberFormat="1" applyFont="1" applyBorder="1" applyAlignment="1"/>
    <xf numFmtId="3" fontId="59" fillId="0" borderId="75" xfId="0" applyNumberFormat="1" applyFont="1" applyBorder="1"/>
    <xf numFmtId="3" fontId="59" fillId="25" borderId="106" xfId="0" applyNumberFormat="1" applyFont="1" applyFill="1" applyBorder="1"/>
    <xf numFmtId="3" fontId="59" fillId="25" borderId="118" xfId="0" applyNumberFormat="1" applyFont="1" applyFill="1" applyBorder="1"/>
    <xf numFmtId="0" fontId="0" fillId="0" borderId="0" xfId="0" applyFont="1" applyAlignment="1"/>
    <xf numFmtId="0" fontId="67" fillId="0" borderId="0" xfId="0" applyFont="1" applyAlignment="1"/>
    <xf numFmtId="0" fontId="12" fillId="5" borderId="44" xfId="0" applyFont="1" applyFill="1" applyBorder="1" applyAlignment="1">
      <alignment vertical="center"/>
    </xf>
    <xf numFmtId="49" fontId="12" fillId="5" borderId="44" xfId="0" applyNumberFormat="1" applyFont="1" applyFill="1" applyBorder="1" applyAlignment="1">
      <alignment vertical="center"/>
    </xf>
    <xf numFmtId="0" fontId="12" fillId="5" borderId="35" xfId="0" applyFont="1" applyFill="1" applyBorder="1" applyAlignment="1">
      <alignment vertical="center"/>
    </xf>
    <xf numFmtId="49" fontId="12" fillId="5" borderId="35" xfId="0" applyNumberFormat="1" applyFont="1" applyFill="1" applyBorder="1" applyAlignment="1">
      <alignment vertical="center"/>
    </xf>
    <xf numFmtId="0" fontId="12" fillId="0" borderId="65" xfId="0" applyFont="1" applyBorder="1" applyAlignment="1">
      <alignment vertical="center"/>
    </xf>
    <xf numFmtId="49" fontId="12" fillId="0" borderId="65" xfId="0" applyNumberFormat="1" applyFont="1" applyBorder="1" applyAlignment="1">
      <alignment vertical="center"/>
    </xf>
    <xf numFmtId="0" fontId="12" fillId="0" borderId="69" xfId="0" applyFont="1" applyBorder="1" applyAlignment="1">
      <alignment vertical="center"/>
    </xf>
    <xf numFmtId="49" fontId="12" fillId="0" borderId="69" xfId="0" applyNumberFormat="1" applyFont="1" applyBorder="1" applyAlignment="1">
      <alignment vertical="center"/>
    </xf>
    <xf numFmtId="0" fontId="12" fillId="0" borderId="74" xfId="0" applyFont="1" applyBorder="1" applyAlignment="1">
      <alignment vertical="center"/>
    </xf>
    <xf numFmtId="49" fontId="12" fillId="0" borderId="74" xfId="0" applyNumberFormat="1" applyFont="1" applyBorder="1" applyAlignment="1">
      <alignment vertical="center"/>
    </xf>
    <xf numFmtId="0" fontId="12" fillId="0" borderId="127" xfId="0" applyFont="1" applyBorder="1" applyAlignment="1">
      <alignment vertical="center"/>
    </xf>
    <xf numFmtId="49" fontId="12" fillId="0" borderId="127" xfId="0" applyNumberFormat="1" applyFont="1" applyBorder="1" applyAlignment="1">
      <alignment vertical="center"/>
    </xf>
    <xf numFmtId="0" fontId="12" fillId="0" borderId="132" xfId="0" applyFont="1" applyBorder="1" applyAlignment="1">
      <alignment vertical="center"/>
    </xf>
    <xf numFmtId="49" fontId="12" fillId="0" borderId="132" xfId="0" applyNumberFormat="1" applyFont="1" applyBorder="1" applyAlignment="1">
      <alignment vertical="center"/>
    </xf>
    <xf numFmtId="0" fontId="21" fillId="0" borderId="8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0" fontId="12" fillId="0" borderId="33" xfId="0" applyFont="1" applyFill="1" applyBorder="1" applyAlignment="1">
      <alignment horizontal="center" vertical="center"/>
    </xf>
    <xf numFmtId="0" fontId="12" fillId="0" borderId="30" xfId="0" applyFont="1" applyFill="1" applyBorder="1" applyAlignment="1">
      <alignment horizontal="center" vertical="center"/>
    </xf>
    <xf numFmtId="0" fontId="12" fillId="0" borderId="41" xfId="0" applyFont="1" applyFill="1" applyBorder="1" applyAlignment="1">
      <alignment horizontal="center" vertical="center"/>
    </xf>
    <xf numFmtId="0" fontId="12" fillId="0" borderId="68" xfId="0" applyFont="1" applyFill="1" applyBorder="1" applyAlignment="1">
      <alignment horizontal="center" vertical="center"/>
    </xf>
    <xf numFmtId="0" fontId="12" fillId="0" borderId="71" xfId="0" applyFont="1" applyFill="1" applyBorder="1" applyAlignment="1">
      <alignment horizontal="center" vertical="center"/>
    </xf>
    <xf numFmtId="0" fontId="12" fillId="0" borderId="73" xfId="0" applyFont="1" applyFill="1" applyBorder="1" applyAlignment="1">
      <alignment horizontal="center" vertical="center"/>
    </xf>
    <xf numFmtId="0" fontId="12" fillId="0" borderId="46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 vertical="center"/>
    </xf>
    <xf numFmtId="0" fontId="12" fillId="0" borderId="126" xfId="0" applyFont="1" applyFill="1" applyBorder="1" applyAlignment="1">
      <alignment horizontal="center" vertical="center"/>
    </xf>
    <xf numFmtId="0" fontId="12" fillId="0" borderId="129" xfId="0" applyFont="1" applyFill="1" applyBorder="1" applyAlignment="1">
      <alignment horizontal="center" vertical="center"/>
    </xf>
    <xf numFmtId="0" fontId="12" fillId="0" borderId="131" xfId="0" applyFont="1" applyFill="1" applyBorder="1" applyAlignment="1">
      <alignment horizontal="center" vertical="center"/>
    </xf>
    <xf numFmtId="0" fontId="0" fillId="0" borderId="0" xfId="0" applyFont="1" applyAlignment="1"/>
    <xf numFmtId="2" fontId="17" fillId="4" borderId="6" xfId="0" applyNumberFormat="1" applyFont="1" applyFill="1" applyBorder="1" applyAlignment="1">
      <alignment horizontal="right"/>
    </xf>
    <xf numFmtId="49" fontId="12" fillId="0" borderId="34" xfId="0" applyNumberFormat="1" applyFont="1" applyBorder="1" applyAlignment="1">
      <alignment vertical="center"/>
    </xf>
    <xf numFmtId="0" fontId="0" fillId="0" borderId="0" xfId="0" applyFont="1" applyAlignment="1">
      <alignment vertical="center"/>
    </xf>
    <xf numFmtId="0" fontId="21" fillId="0" borderId="10" xfId="0" applyFont="1" applyBorder="1" applyAlignment="1">
      <alignment horizontal="left" vertical="center"/>
    </xf>
    <xf numFmtId="49" fontId="78" fillId="0" borderId="9" xfId="0" applyNumberFormat="1" applyFont="1" applyBorder="1" applyAlignment="1">
      <alignment horizontal="center" vertical="center"/>
    </xf>
    <xf numFmtId="49" fontId="67" fillId="5" borderId="15" xfId="0" applyNumberFormat="1" applyFont="1" applyFill="1" applyBorder="1" applyAlignment="1">
      <alignment horizontal="left" vertical="center"/>
    </xf>
    <xf numFmtId="0" fontId="12" fillId="5" borderId="16" xfId="0" applyFont="1" applyFill="1" applyBorder="1" applyAlignment="1">
      <alignment horizontal="left" vertical="center"/>
    </xf>
    <xf numFmtId="49" fontId="12" fillId="5" borderId="15" xfId="0" applyNumberFormat="1" applyFont="1" applyFill="1" applyBorder="1" applyAlignment="1">
      <alignment horizontal="center" vertical="center"/>
    </xf>
    <xf numFmtId="49" fontId="12" fillId="5" borderId="15" xfId="0" applyNumberFormat="1" applyFont="1" applyFill="1" applyBorder="1" applyAlignment="1">
      <alignment horizontal="right" vertical="center"/>
    </xf>
    <xf numFmtId="49" fontId="67" fillId="5" borderId="1" xfId="0" applyNumberFormat="1" applyFont="1" applyFill="1" applyBorder="1" applyAlignment="1">
      <alignment horizontal="left" vertical="center"/>
    </xf>
    <xf numFmtId="0" fontId="12" fillId="5" borderId="21" xfId="0" applyFont="1" applyFill="1" applyBorder="1" applyAlignment="1">
      <alignment horizontal="left" vertical="center"/>
    </xf>
    <xf numFmtId="49" fontId="12" fillId="5" borderId="1" xfId="0" applyNumberFormat="1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right" vertical="center"/>
    </xf>
    <xf numFmtId="49" fontId="67" fillId="5" borderId="24" xfId="0" applyNumberFormat="1" applyFont="1" applyFill="1" applyBorder="1" applyAlignment="1">
      <alignment horizontal="left" vertical="center"/>
    </xf>
    <xf numFmtId="0" fontId="12" fillId="5" borderId="25" xfId="0" applyFont="1" applyFill="1" applyBorder="1" applyAlignment="1">
      <alignment horizontal="left" vertical="center"/>
    </xf>
    <xf numFmtId="49" fontId="12" fillId="5" borderId="24" xfId="0" applyNumberFormat="1" applyFont="1" applyFill="1" applyBorder="1" applyAlignment="1">
      <alignment horizontal="center" vertical="center"/>
    </xf>
    <xf numFmtId="49" fontId="12" fillId="5" borderId="24" xfId="0" applyNumberFormat="1" applyFont="1" applyFill="1" applyBorder="1" applyAlignment="1">
      <alignment horizontal="right" vertical="center"/>
    </xf>
    <xf numFmtId="49" fontId="67" fillId="0" borderId="28" xfId="0" applyNumberFormat="1" applyFont="1" applyBorder="1" applyAlignment="1">
      <alignment horizontal="left" vertical="center"/>
    </xf>
    <xf numFmtId="0" fontId="12" fillId="0" borderId="29" xfId="0" applyFont="1" applyBorder="1" applyAlignment="1">
      <alignment horizontal="left" vertical="center"/>
    </xf>
    <xf numFmtId="49" fontId="12" fillId="0" borderId="28" xfId="0" applyNumberFormat="1" applyFont="1" applyBorder="1" applyAlignment="1">
      <alignment horizontal="center" vertical="center"/>
    </xf>
    <xf numFmtId="49" fontId="12" fillId="0" borderId="28" xfId="0" applyNumberFormat="1" applyFont="1" applyBorder="1" applyAlignment="1">
      <alignment horizontal="right" vertical="center"/>
    </xf>
    <xf numFmtId="49" fontId="67" fillId="0" borderId="1" xfId="0" applyNumberFormat="1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right" vertical="center"/>
    </xf>
    <xf numFmtId="49" fontId="67" fillId="0" borderId="31" xfId="0" applyNumberFormat="1" applyFont="1" applyBorder="1" applyAlignment="1">
      <alignment horizontal="left" vertical="center"/>
    </xf>
    <xf numFmtId="0" fontId="12" fillId="0" borderId="32" xfId="0" applyFont="1" applyBorder="1" applyAlignment="1">
      <alignment horizontal="left" vertical="center"/>
    </xf>
    <xf numFmtId="49" fontId="12" fillId="0" borderId="31" xfId="0" applyNumberFormat="1" applyFont="1" applyBorder="1" applyAlignment="1">
      <alignment horizontal="center" vertical="center"/>
    </xf>
    <xf numFmtId="49" fontId="12" fillId="0" borderId="31" xfId="0" applyNumberFormat="1" applyFont="1" applyBorder="1" applyAlignment="1">
      <alignment horizontal="right" vertical="center"/>
    </xf>
    <xf numFmtId="49" fontId="67" fillId="5" borderId="44" xfId="0" applyNumberFormat="1" applyFont="1" applyFill="1" applyBorder="1" applyAlignment="1">
      <alignment horizontal="left" vertical="center"/>
    </xf>
    <xf numFmtId="0" fontId="12" fillId="5" borderId="45" xfId="0" applyFont="1" applyFill="1" applyBorder="1" applyAlignment="1">
      <alignment horizontal="left" vertical="center"/>
    </xf>
    <xf numFmtId="49" fontId="67" fillId="0" borderId="69" xfId="0" applyNumberFormat="1" applyFont="1" applyBorder="1" applyAlignment="1">
      <alignment horizontal="left" vertical="center"/>
    </xf>
    <xf numFmtId="0" fontId="12" fillId="0" borderId="70" xfId="0" applyFont="1" applyBorder="1" applyAlignment="1">
      <alignment horizontal="left" vertical="center"/>
    </xf>
    <xf numFmtId="49" fontId="12" fillId="0" borderId="59" xfId="0" applyNumberFormat="1" applyFont="1" applyBorder="1" applyAlignment="1">
      <alignment horizontal="center" vertical="center"/>
    </xf>
    <xf numFmtId="49" fontId="67" fillId="0" borderId="65" xfId="0" applyNumberFormat="1" applyFont="1" applyBorder="1" applyAlignment="1">
      <alignment horizontal="left" vertical="center"/>
    </xf>
    <xf numFmtId="0" fontId="12" fillId="0" borderId="72" xfId="0" applyFont="1" applyBorder="1" applyAlignment="1">
      <alignment horizontal="left" vertical="center"/>
    </xf>
    <xf numFmtId="49" fontId="12" fillId="0" borderId="60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49" fontId="67" fillId="0" borderId="74" xfId="0" applyNumberFormat="1" applyFont="1" applyBorder="1" applyAlignment="1">
      <alignment horizontal="left" vertical="center"/>
    </xf>
    <xf numFmtId="0" fontId="12" fillId="0" borderId="75" xfId="0" applyFont="1" applyBorder="1" applyAlignment="1">
      <alignment horizontal="left" vertical="center"/>
    </xf>
    <xf numFmtId="49" fontId="67" fillId="5" borderId="35" xfId="0" applyNumberFormat="1" applyFont="1" applyFill="1" applyBorder="1" applyAlignment="1">
      <alignment horizontal="left" vertical="center"/>
    </xf>
    <xf numFmtId="0" fontId="12" fillId="5" borderId="47" xfId="0" applyFont="1" applyFill="1" applyBorder="1" applyAlignment="1">
      <alignment horizontal="left" vertical="center"/>
    </xf>
    <xf numFmtId="49" fontId="12" fillId="5" borderId="44" xfId="0" applyNumberFormat="1" applyFont="1" applyFill="1" applyBorder="1" applyAlignment="1">
      <alignment horizontal="center" vertical="center"/>
    </xf>
    <xf numFmtId="49" fontId="12" fillId="5" borderId="44" xfId="0" applyNumberFormat="1" applyFont="1" applyFill="1" applyBorder="1" applyAlignment="1">
      <alignment horizontal="right" vertical="center"/>
    </xf>
    <xf numFmtId="49" fontId="12" fillId="0" borderId="101" xfId="0" applyNumberFormat="1" applyFont="1" applyBorder="1" applyAlignment="1">
      <alignment horizontal="center" vertical="center"/>
    </xf>
    <xf numFmtId="49" fontId="12" fillId="0" borderId="65" xfId="0" applyNumberFormat="1" applyFont="1" applyBorder="1" applyAlignment="1">
      <alignment horizontal="right" vertical="center"/>
    </xf>
    <xf numFmtId="49" fontId="12" fillId="5" borderId="35" xfId="0" applyNumberFormat="1" applyFont="1" applyFill="1" applyBorder="1" applyAlignment="1">
      <alignment horizontal="center" vertical="center"/>
    </xf>
    <xf numFmtId="49" fontId="12" fillId="5" borderId="35" xfId="0" applyNumberFormat="1" applyFont="1" applyFill="1" applyBorder="1" applyAlignment="1">
      <alignment horizontal="right" vertical="center"/>
    </xf>
    <xf numFmtId="49" fontId="12" fillId="0" borderId="27" xfId="0" applyNumberFormat="1" applyFont="1" applyBorder="1" applyAlignment="1">
      <alignment horizontal="right" vertical="center"/>
    </xf>
    <xf numFmtId="49" fontId="67" fillId="0" borderId="44" xfId="0" applyNumberFormat="1" applyFont="1" applyBorder="1" applyAlignment="1">
      <alignment horizontal="left" vertical="center"/>
    </xf>
    <xf numFmtId="0" fontId="12" fillId="0" borderId="45" xfId="0" applyFont="1" applyBorder="1" applyAlignment="1">
      <alignment horizontal="left" vertical="center"/>
    </xf>
    <xf numFmtId="49" fontId="12" fillId="0" borderId="44" xfId="0" applyNumberFormat="1" applyFont="1" applyBorder="1" applyAlignment="1">
      <alignment horizontal="center" vertical="center"/>
    </xf>
    <xf numFmtId="49" fontId="12" fillId="0" borderId="44" xfId="0" applyNumberFormat="1" applyFont="1" applyBorder="1" applyAlignment="1">
      <alignment horizontal="right" vertical="center"/>
    </xf>
    <xf numFmtId="49" fontId="12" fillId="0" borderId="95" xfId="0" applyNumberFormat="1" applyFont="1" applyBorder="1" applyAlignment="1">
      <alignment vertical="center"/>
    </xf>
    <xf numFmtId="49" fontId="67" fillId="5" borderId="95" xfId="0" applyNumberFormat="1" applyFont="1" applyFill="1" applyBorder="1" applyAlignment="1">
      <alignment horizontal="left" vertical="center"/>
    </xf>
    <xf numFmtId="0" fontId="12" fillId="5" borderId="96" xfId="0" applyFont="1" applyFill="1" applyBorder="1" applyAlignment="1">
      <alignment horizontal="left" vertical="center"/>
    </xf>
    <xf numFmtId="0" fontId="12" fillId="5" borderId="95" xfId="0" applyFont="1" applyFill="1" applyBorder="1" applyAlignment="1">
      <alignment horizontal="center" vertical="center"/>
    </xf>
    <xf numFmtId="0" fontId="12" fillId="5" borderId="97" xfId="0" applyFont="1" applyFill="1" applyBorder="1" applyAlignment="1">
      <alignment horizontal="right" vertical="center"/>
    </xf>
    <xf numFmtId="49" fontId="67" fillId="5" borderId="69" xfId="0" applyNumberFormat="1" applyFont="1" applyFill="1" applyBorder="1" applyAlignment="1">
      <alignment horizontal="left" vertical="center"/>
    </xf>
    <xf numFmtId="0" fontId="12" fillId="5" borderId="70" xfId="0" applyFont="1" applyFill="1" applyBorder="1" applyAlignment="1">
      <alignment horizontal="left" vertical="center"/>
    </xf>
    <xf numFmtId="49" fontId="12" fillId="5" borderId="19" xfId="0" applyNumberFormat="1" applyFont="1" applyFill="1" applyBorder="1" applyAlignment="1">
      <alignment horizontal="center" vertical="center"/>
    </xf>
    <xf numFmtId="49" fontId="67" fillId="5" borderId="65" xfId="0" applyNumberFormat="1" applyFont="1" applyFill="1" applyBorder="1" applyAlignment="1">
      <alignment horizontal="left" vertical="center"/>
    </xf>
    <xf numFmtId="0" fontId="12" fillId="5" borderId="72" xfId="0" applyFont="1" applyFill="1" applyBorder="1" applyAlignment="1">
      <alignment horizontal="left" vertical="center"/>
    </xf>
    <xf numFmtId="49" fontId="67" fillId="5" borderId="74" xfId="0" applyNumberFormat="1" applyFont="1" applyFill="1" applyBorder="1" applyAlignment="1">
      <alignment horizontal="left" vertical="center"/>
    </xf>
    <xf numFmtId="0" fontId="12" fillId="5" borderId="75" xfId="0" applyFont="1" applyFill="1" applyBorder="1" applyAlignment="1">
      <alignment horizontal="left" vertical="center"/>
    </xf>
    <xf numFmtId="49" fontId="67" fillId="0" borderId="27" xfId="0" applyNumberFormat="1" applyFont="1" applyBorder="1" applyAlignment="1">
      <alignment horizontal="left" vertical="center"/>
    </xf>
    <xf numFmtId="0" fontId="12" fillId="0" borderId="63" xfId="0" applyFont="1" applyBorder="1" applyAlignment="1">
      <alignment horizontal="left" vertical="center"/>
    </xf>
    <xf numFmtId="49" fontId="12" fillId="0" borderId="27" xfId="0" applyNumberFormat="1" applyFont="1" applyBorder="1" applyAlignment="1">
      <alignment horizontal="center" vertical="center"/>
    </xf>
    <xf numFmtId="49" fontId="67" fillId="0" borderId="127" xfId="0" applyNumberFormat="1" applyFont="1" applyBorder="1" applyAlignment="1">
      <alignment horizontal="left" vertical="center"/>
    </xf>
    <xf numFmtId="0" fontId="12" fillId="0" borderId="128" xfId="0" applyFont="1" applyBorder="1" applyAlignment="1">
      <alignment horizontal="left" vertical="center"/>
    </xf>
    <xf numFmtId="0" fontId="12" fillId="0" borderId="130" xfId="0" applyFont="1" applyBorder="1" applyAlignment="1">
      <alignment horizontal="left" vertical="center"/>
    </xf>
    <xf numFmtId="49" fontId="67" fillId="0" borderId="132" xfId="0" applyNumberFormat="1" applyFont="1" applyBorder="1" applyAlignment="1">
      <alignment horizontal="left" vertical="center"/>
    </xf>
    <xf numFmtId="0" fontId="12" fillId="0" borderId="133" xfId="0" applyFont="1" applyBorder="1" applyAlignment="1">
      <alignment horizontal="left" vertical="center"/>
    </xf>
    <xf numFmtId="49" fontId="12" fillId="5" borderId="100" xfId="0" applyNumberFormat="1" applyFont="1" applyFill="1" applyBorder="1" applyAlignment="1">
      <alignment horizontal="center" vertical="center"/>
    </xf>
    <xf numFmtId="49" fontId="12" fillId="5" borderId="70" xfId="0" applyNumberFormat="1" applyFont="1" applyFill="1" applyBorder="1" applyAlignment="1">
      <alignment horizontal="right" vertical="center"/>
    </xf>
    <xf numFmtId="49" fontId="12" fillId="5" borderId="101" xfId="0" applyNumberFormat="1" applyFont="1" applyFill="1" applyBorder="1" applyAlignment="1">
      <alignment horizontal="center" vertical="center"/>
    </xf>
    <xf numFmtId="49" fontId="12" fillId="5" borderId="72" xfId="0" applyNumberFormat="1" applyFont="1" applyFill="1" applyBorder="1" applyAlignment="1">
      <alignment horizontal="right" vertical="center"/>
    </xf>
    <xf numFmtId="49" fontId="12" fillId="5" borderId="102" xfId="0" applyNumberFormat="1" applyFont="1" applyFill="1" applyBorder="1" applyAlignment="1">
      <alignment horizontal="center" vertical="center"/>
    </xf>
    <xf numFmtId="49" fontId="12" fillId="5" borderId="75" xfId="0" applyNumberFormat="1" applyFont="1" applyFill="1" applyBorder="1" applyAlignment="1">
      <alignment horizontal="right" vertical="center"/>
    </xf>
    <xf numFmtId="49" fontId="12" fillId="0" borderId="134" xfId="0" applyNumberFormat="1" applyFont="1" applyBorder="1" applyAlignment="1">
      <alignment horizontal="center" vertical="center"/>
    </xf>
    <xf numFmtId="49" fontId="12" fillId="0" borderId="34" xfId="0" applyNumberFormat="1" applyFont="1" applyBorder="1" applyAlignment="1">
      <alignment horizontal="right" vertical="center"/>
    </xf>
    <xf numFmtId="0" fontId="12" fillId="19" borderId="69" xfId="0" applyFont="1" applyFill="1" applyBorder="1" applyAlignment="1">
      <alignment vertical="center"/>
    </xf>
    <xf numFmtId="49" fontId="12" fillId="19" borderId="69" xfId="0" applyNumberFormat="1" applyFont="1" applyFill="1" applyBorder="1" applyAlignment="1">
      <alignment vertical="center"/>
    </xf>
    <xf numFmtId="49" fontId="67" fillId="19" borderId="69" xfId="0" applyNumberFormat="1" applyFont="1" applyFill="1" applyBorder="1" applyAlignment="1">
      <alignment horizontal="left" vertical="center"/>
    </xf>
    <xf numFmtId="0" fontId="12" fillId="19" borderId="70" xfId="0" applyFont="1" applyFill="1" applyBorder="1" applyAlignment="1">
      <alignment horizontal="left" vertical="center"/>
    </xf>
    <xf numFmtId="0" fontId="12" fillId="19" borderId="65" xfId="0" applyFont="1" applyFill="1" applyBorder="1" applyAlignment="1">
      <alignment vertical="center"/>
    </xf>
    <xf numFmtId="49" fontId="12" fillId="19" borderId="65" xfId="0" applyNumberFormat="1" applyFont="1" applyFill="1" applyBorder="1" applyAlignment="1">
      <alignment vertical="center"/>
    </xf>
    <xf numFmtId="49" fontId="67" fillId="19" borderId="65" xfId="0" applyNumberFormat="1" applyFont="1" applyFill="1" applyBorder="1" applyAlignment="1">
      <alignment horizontal="left" vertical="center"/>
    </xf>
    <xf numFmtId="49" fontId="12" fillId="19" borderId="72" xfId="0" applyNumberFormat="1" applyFont="1" applyFill="1" applyBorder="1" applyAlignment="1">
      <alignment vertical="center"/>
    </xf>
    <xf numFmtId="49" fontId="12" fillId="0" borderId="101" xfId="0" applyNumberFormat="1" applyFont="1" applyBorder="1" applyAlignment="1">
      <alignment vertical="center"/>
    </xf>
    <xf numFmtId="0" fontId="12" fillId="0" borderId="65" xfId="0" applyFont="1" applyBorder="1" applyAlignment="1">
      <alignment horizontal="right" vertical="center"/>
    </xf>
    <xf numFmtId="0" fontId="12" fillId="19" borderId="74" xfId="0" applyFont="1" applyFill="1" applyBorder="1" applyAlignment="1">
      <alignment vertical="center"/>
    </xf>
    <xf numFmtId="49" fontId="12" fillId="19" borderId="74" xfId="0" applyNumberFormat="1" applyFont="1" applyFill="1" applyBorder="1" applyAlignment="1">
      <alignment vertical="center"/>
    </xf>
    <xf numFmtId="49" fontId="67" fillId="19" borderId="74" xfId="0" applyNumberFormat="1" applyFont="1" applyFill="1" applyBorder="1" applyAlignment="1">
      <alignment horizontal="left" vertical="center"/>
    </xf>
    <xf numFmtId="49" fontId="12" fillId="19" borderId="75" xfId="0" applyNumberFormat="1" applyFont="1" applyFill="1" applyBorder="1" applyAlignment="1">
      <alignment vertical="center"/>
    </xf>
    <xf numFmtId="0" fontId="0" fillId="0" borderId="0" xfId="0" applyFont="1" applyAlignment="1"/>
    <xf numFmtId="0" fontId="21" fillId="0" borderId="44" xfId="0" applyFont="1" applyBorder="1"/>
    <xf numFmtId="0" fontId="0" fillId="0" borderId="0" xfId="0" applyFont="1" applyAlignment="1"/>
    <xf numFmtId="3" fontId="12" fillId="0" borderId="65" xfId="0" applyNumberFormat="1" applyFont="1" applyBorder="1" applyAlignment="1"/>
    <xf numFmtId="3" fontId="30" fillId="0" borderId="0" xfId="0" applyNumberFormat="1" applyFont="1"/>
    <xf numFmtId="0" fontId="4" fillId="0" borderId="106" xfId="0" applyFont="1" applyFill="1" applyBorder="1" applyAlignment="1">
      <alignment horizontal="left"/>
    </xf>
    <xf numFmtId="0" fontId="4" fillId="0" borderId="118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left"/>
    </xf>
    <xf numFmtId="3" fontId="57" fillId="0" borderId="71" xfId="0" applyNumberFormat="1" applyFont="1" applyFill="1" applyBorder="1"/>
    <xf numFmtId="3" fontId="12" fillId="0" borderId="68" xfId="0" applyNumberFormat="1" applyFont="1" applyBorder="1"/>
    <xf numFmtId="3" fontId="68" fillId="0" borderId="73" xfId="0" applyNumberFormat="1" applyFont="1" applyBorder="1"/>
    <xf numFmtId="3" fontId="68" fillId="0" borderId="74" xfId="0" applyNumberFormat="1" applyFont="1" applyBorder="1"/>
    <xf numFmtId="3" fontId="68" fillId="0" borderId="75" xfId="0" applyNumberFormat="1" applyFont="1" applyBorder="1"/>
    <xf numFmtId="3" fontId="31" fillId="19" borderId="120" xfId="0" applyNumberFormat="1" applyFont="1" applyFill="1" applyBorder="1" applyAlignment="1">
      <alignment horizontal="left"/>
    </xf>
    <xf numFmtId="3" fontId="68" fillId="0" borderId="84" xfId="0" applyNumberFormat="1" applyFont="1" applyBorder="1"/>
    <xf numFmtId="3" fontId="68" fillId="0" borderId="66" xfId="0" applyNumberFormat="1" applyFont="1" applyBorder="1"/>
    <xf numFmtId="3" fontId="68" fillId="0" borderId="85" xfId="0" applyNumberFormat="1" applyFont="1" applyBorder="1"/>
    <xf numFmtId="0" fontId="67" fillId="18" borderId="76" xfId="0" applyFont="1" applyFill="1" applyBorder="1"/>
    <xf numFmtId="0" fontId="31" fillId="15" borderId="76" xfId="0" applyFont="1" applyFill="1" applyBorder="1"/>
    <xf numFmtId="0" fontId="31" fillId="15" borderId="77" xfId="0" applyFont="1" applyFill="1" applyBorder="1"/>
    <xf numFmtId="3" fontId="76" fillId="25" borderId="118" xfId="0" applyNumberFormat="1" applyFont="1" applyFill="1" applyBorder="1"/>
    <xf numFmtId="3" fontId="76" fillId="25" borderId="43" xfId="0" applyNumberFormat="1" applyFont="1" applyFill="1" applyBorder="1"/>
    <xf numFmtId="3" fontId="76" fillId="25" borderId="119" xfId="0" applyNumberFormat="1" applyFont="1" applyFill="1" applyBorder="1"/>
    <xf numFmtId="3" fontId="30" fillId="19" borderId="88" xfId="0" applyNumberFormat="1" applyFont="1" applyFill="1" applyBorder="1"/>
    <xf numFmtId="3" fontId="30" fillId="19" borderId="89" xfId="0" applyNumberFormat="1" applyFont="1" applyFill="1" applyBorder="1"/>
    <xf numFmtId="3" fontId="30" fillId="19" borderId="90" xfId="0" applyNumberFormat="1" applyFont="1" applyFill="1" applyBorder="1"/>
    <xf numFmtId="3" fontId="12" fillId="0" borderId="69" xfId="0" applyNumberFormat="1" applyFont="1" applyBorder="1" applyAlignment="1"/>
    <xf numFmtId="3" fontId="12" fillId="0" borderId="43" xfId="0" applyNumberFormat="1" applyFont="1" applyBorder="1" applyAlignment="1"/>
    <xf numFmtId="3" fontId="12" fillId="0" borderId="74" xfId="0" applyNumberFormat="1" applyFont="1" applyBorder="1" applyAlignment="1"/>
    <xf numFmtId="3" fontId="30" fillId="0" borderId="43" xfId="0" applyNumberFormat="1" applyFont="1" applyBorder="1"/>
    <xf numFmtId="3" fontId="12" fillId="0" borderId="76" xfId="0" applyNumberFormat="1" applyFont="1" applyBorder="1" applyAlignment="1"/>
    <xf numFmtId="3" fontId="12" fillId="0" borderId="79" xfId="0" applyNumberFormat="1" applyFont="1" applyBorder="1" applyAlignment="1"/>
    <xf numFmtId="0" fontId="28" fillId="0" borderId="0" xfId="0" applyFont="1" applyAlignment="1">
      <alignment horizontal="center" vertical="center" shrinkToFit="1"/>
    </xf>
    <xf numFmtId="1" fontId="28" fillId="0" borderId="0" xfId="0" applyNumberFormat="1" applyFont="1" applyAlignment="1">
      <alignment horizontal="center" vertical="center" wrapText="1"/>
    </xf>
    <xf numFmtId="0" fontId="80" fillId="0" borderId="0" xfId="0" applyFont="1" applyAlignment="1">
      <alignment vertical="center"/>
    </xf>
    <xf numFmtId="3" fontId="50" fillId="0" borderId="43" xfId="0" applyNumberFormat="1" applyFont="1" applyBorder="1"/>
    <xf numFmtId="3" fontId="83" fillId="0" borderId="43" xfId="0" applyNumberFormat="1" applyFont="1" applyBorder="1"/>
    <xf numFmtId="3" fontId="31" fillId="0" borderId="100" xfId="0" applyNumberFormat="1" applyFont="1" applyBorder="1" applyAlignment="1"/>
    <xf numFmtId="3" fontId="31" fillId="0" borderId="68" xfId="0" applyNumberFormat="1" applyFont="1" applyBorder="1" applyAlignment="1"/>
    <xf numFmtId="3" fontId="50" fillId="0" borderId="68" xfId="0" applyNumberFormat="1" applyFont="1" applyBorder="1"/>
    <xf numFmtId="3" fontId="84" fillId="0" borderId="43" xfId="0" applyNumberFormat="1" applyFont="1" applyBorder="1" applyAlignment="1"/>
    <xf numFmtId="3" fontId="30" fillId="0" borderId="101" xfId="0" applyNumberFormat="1" applyFont="1" applyBorder="1" applyAlignment="1"/>
    <xf numFmtId="3" fontId="12" fillId="0" borderId="72" xfId="0" applyNumberFormat="1" applyFont="1" applyBorder="1" applyAlignment="1"/>
    <xf numFmtId="3" fontId="30" fillId="0" borderId="71" xfId="0" applyNumberFormat="1" applyFont="1" applyBorder="1" applyAlignment="1"/>
    <xf numFmtId="3" fontId="84" fillId="0" borderId="76" xfId="0" applyNumberFormat="1" applyFont="1" applyBorder="1" applyAlignment="1"/>
    <xf numFmtId="3" fontId="30" fillId="0" borderId="102" xfId="0" applyNumberFormat="1" applyFont="1" applyBorder="1" applyAlignment="1"/>
    <xf numFmtId="3" fontId="12" fillId="0" borderId="75" xfId="0" applyNumberFormat="1" applyFont="1" applyBorder="1" applyAlignment="1"/>
    <xf numFmtId="3" fontId="30" fillId="0" borderId="73" xfId="0" applyNumberFormat="1" applyFont="1" applyBorder="1" applyAlignment="1"/>
    <xf numFmtId="3" fontId="84" fillId="0" borderId="79" xfId="0" applyNumberFormat="1" applyFont="1" applyBorder="1" applyAlignment="1"/>
    <xf numFmtId="3" fontId="50" fillId="0" borderId="0" xfId="0" applyNumberFormat="1" applyFont="1" applyAlignment="1"/>
    <xf numFmtId="3" fontId="21" fillId="0" borderId="0" xfId="0" applyNumberFormat="1" applyFont="1" applyAlignment="1"/>
    <xf numFmtId="3" fontId="30" fillId="0" borderId="69" xfId="0" applyNumberFormat="1" applyFont="1" applyBorder="1" applyAlignment="1"/>
    <xf numFmtId="3" fontId="12" fillId="0" borderId="100" xfId="0" applyNumberFormat="1" applyFont="1" applyBorder="1" applyAlignment="1"/>
    <xf numFmtId="3" fontId="12" fillId="0" borderId="70" xfId="0" applyNumberFormat="1" applyFont="1" applyBorder="1" applyAlignment="1"/>
    <xf numFmtId="3" fontId="30" fillId="0" borderId="65" xfId="0" applyNumberFormat="1" applyFont="1" applyBorder="1" applyAlignment="1"/>
    <xf numFmtId="3" fontId="12" fillId="0" borderId="101" xfId="0" applyNumberFormat="1" applyFont="1" applyBorder="1" applyAlignment="1"/>
    <xf numFmtId="3" fontId="30" fillId="0" borderId="74" xfId="0" applyNumberFormat="1" applyFont="1" applyBorder="1" applyAlignment="1"/>
    <xf numFmtId="3" fontId="12" fillId="0" borderId="102" xfId="0" applyNumberFormat="1" applyFont="1" applyBorder="1" applyAlignment="1"/>
    <xf numFmtId="3" fontId="30" fillId="23" borderId="74" xfId="0" applyNumberFormat="1" applyFont="1" applyFill="1" applyBorder="1" applyAlignment="1"/>
    <xf numFmtId="3" fontId="30" fillId="23" borderId="75" xfId="0" applyNumberFormat="1" applyFont="1" applyFill="1" applyBorder="1" applyAlignment="1"/>
    <xf numFmtId="3" fontId="30" fillId="0" borderId="43" xfId="0" applyNumberFormat="1" applyFont="1" applyBorder="1" applyAlignment="1"/>
    <xf numFmtId="3" fontId="30" fillId="0" borderId="43" xfId="0" applyNumberFormat="1" applyFont="1" applyFill="1" applyBorder="1" applyAlignment="1"/>
    <xf numFmtId="3" fontId="21" fillId="0" borderId="92" xfId="0" applyNumberFormat="1" applyFont="1" applyFill="1" applyBorder="1" applyAlignment="1">
      <alignment horizontal="center"/>
    </xf>
    <xf numFmtId="3" fontId="30" fillId="24" borderId="0" xfId="0" applyNumberFormat="1" applyFont="1" applyFill="1" applyAlignment="1">
      <alignment horizontal="center" vertical="center"/>
    </xf>
    <xf numFmtId="3" fontId="50" fillId="23" borderId="43" xfId="0" applyNumberFormat="1" applyFont="1" applyFill="1" applyBorder="1"/>
    <xf numFmtId="3" fontId="28" fillId="0" borderId="0" xfId="0" applyNumberFormat="1" applyFont="1" applyAlignment="1">
      <alignment shrinkToFit="1"/>
    </xf>
    <xf numFmtId="3" fontId="28" fillId="0" borderId="0" xfId="0" applyNumberFormat="1" applyFont="1" applyAlignment="1">
      <alignment horizontal="center" shrinkToFit="1"/>
    </xf>
    <xf numFmtId="3" fontId="20" fillId="0" borderId="0" xfId="0" applyNumberFormat="1" applyFont="1" applyAlignment="1">
      <alignment shrinkToFit="1"/>
    </xf>
    <xf numFmtId="3" fontId="28" fillId="0" borderId="0" xfId="0" applyNumberFormat="1" applyFont="1" applyAlignment="1">
      <alignment horizontal="center"/>
    </xf>
    <xf numFmtId="3" fontId="28" fillId="0" borderId="0" xfId="0" applyNumberFormat="1" applyFont="1" applyAlignment="1">
      <alignment horizontal="center" wrapText="1"/>
    </xf>
    <xf numFmtId="3" fontId="30" fillId="23" borderId="0" xfId="0" applyNumberFormat="1" applyFont="1" applyFill="1" applyAlignment="1">
      <alignment horizontal="center" vertical="center"/>
    </xf>
    <xf numFmtId="3" fontId="30" fillId="23" borderId="0" xfId="0" applyNumberFormat="1" applyFont="1" applyFill="1"/>
    <xf numFmtId="0" fontId="53" fillId="0" borderId="43" xfId="0" applyFont="1" applyFill="1" applyBorder="1"/>
    <xf numFmtId="3" fontId="8" fillId="26" borderId="43" xfId="0" applyNumberFormat="1" applyFont="1" applyFill="1" applyBorder="1"/>
    <xf numFmtId="165" fontId="75" fillId="0" borderId="43" xfId="0" applyNumberFormat="1" applyFont="1" applyFill="1" applyBorder="1" applyAlignment="1">
      <alignment vertical="center"/>
    </xf>
    <xf numFmtId="165" fontId="85" fillId="0" borderId="43" xfId="0" applyNumberFormat="1" applyFont="1" applyFill="1" applyBorder="1" applyAlignment="1">
      <alignment vertical="center"/>
    </xf>
    <xf numFmtId="2" fontId="86" fillId="0" borderId="43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shrinkToFit="1"/>
    </xf>
    <xf numFmtId="164" fontId="4" fillId="0" borderId="0" xfId="0" applyNumberFormat="1" applyFont="1" applyAlignment="1">
      <alignment horizontal="center" shrinkToFit="1"/>
    </xf>
    <xf numFmtId="164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wrapText="1"/>
    </xf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4" fillId="0" borderId="0" xfId="0" applyFont="1"/>
    <xf numFmtId="14" fontId="31" fillId="0" borderId="0" xfId="0" applyNumberFormat="1" applyFont="1" applyAlignment="1">
      <alignment horizontal="left" vertical="center"/>
    </xf>
    <xf numFmtId="14" fontId="31" fillId="0" borderId="0" xfId="0" applyNumberFormat="1" applyFont="1" applyAlignment="1">
      <alignment horizontal="left"/>
    </xf>
    <xf numFmtId="14" fontId="31" fillId="0" borderId="0" xfId="0" applyNumberFormat="1" applyFont="1" applyAlignment="1">
      <alignment horizontal="left" shrinkToFit="1"/>
    </xf>
    <xf numFmtId="14" fontId="17" fillId="0" borderId="0" xfId="0" applyNumberFormat="1" applyFont="1" applyAlignment="1">
      <alignment horizontal="left" shrinkToFit="1"/>
    </xf>
    <xf numFmtId="1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0" fontId="0" fillId="0" borderId="0" xfId="0" applyFont="1" applyAlignment="1"/>
    <xf numFmtId="3" fontId="51" fillId="0" borderId="43" xfId="0" applyNumberFormat="1" applyFont="1" applyBorder="1"/>
    <xf numFmtId="3" fontId="21" fillId="0" borderId="44" xfId="0" applyNumberFormat="1" applyFont="1" applyBorder="1" applyAlignment="1">
      <alignment horizontal="right"/>
    </xf>
    <xf numFmtId="0" fontId="4" fillId="0" borderId="43" xfId="0" applyFont="1" applyBorder="1"/>
    <xf numFmtId="3" fontId="21" fillId="0" borderId="135" xfId="0" applyNumberFormat="1" applyFont="1" applyBorder="1"/>
    <xf numFmtId="3" fontId="21" fillId="0" borderId="136" xfId="0" applyNumberFormat="1" applyFont="1" applyBorder="1"/>
    <xf numFmtId="3" fontId="21" fillId="0" borderId="136" xfId="0" applyNumberFormat="1" applyFont="1" applyBorder="1" applyAlignment="1">
      <alignment horizontal="center"/>
    </xf>
    <xf numFmtId="3" fontId="21" fillId="0" borderId="137" xfId="0" applyNumberFormat="1" applyFont="1" applyBorder="1"/>
    <xf numFmtId="3" fontId="12" fillId="0" borderId="60" xfId="0" applyNumberFormat="1" applyFont="1" applyBorder="1"/>
    <xf numFmtId="3" fontId="21" fillId="0" borderId="17" xfId="0" applyNumberFormat="1" applyFont="1" applyBorder="1"/>
    <xf numFmtId="0" fontId="0" fillId="0" borderId="0" xfId="0" applyFont="1" applyAlignment="1"/>
    <xf numFmtId="0" fontId="31" fillId="0" borderId="0" xfId="0" applyFont="1" applyAlignment="1"/>
    <xf numFmtId="0" fontId="69" fillId="0" borderId="0" xfId="0" applyFont="1" applyFill="1" applyAlignment="1">
      <alignment horizontal="center" vertical="center"/>
    </xf>
    <xf numFmtId="0" fontId="70" fillId="0" borderId="0" xfId="0" applyFont="1" applyFill="1" applyAlignment="1">
      <alignment vertical="center"/>
    </xf>
    <xf numFmtId="0" fontId="0" fillId="0" borderId="0" xfId="0" applyFont="1" applyFill="1"/>
    <xf numFmtId="3" fontId="5" fillId="0" borderId="0" xfId="0" applyNumberFormat="1" applyFont="1" applyFill="1" applyAlignment="1">
      <alignment horizontal="right"/>
    </xf>
    <xf numFmtId="2" fontId="17" fillId="0" borderId="43" xfId="0" applyNumberFormat="1" applyFont="1" applyFill="1" applyBorder="1" applyAlignment="1">
      <alignment horizontal="right"/>
    </xf>
    <xf numFmtId="0" fontId="0" fillId="0" borderId="0" xfId="0" applyFont="1" applyFill="1" applyAlignment="1"/>
    <xf numFmtId="0" fontId="5" fillId="0" borderId="0" xfId="0" applyFont="1" applyFill="1"/>
    <xf numFmtId="0" fontId="3" fillId="0" borderId="0" xfId="0" applyFont="1" applyFill="1"/>
    <xf numFmtId="3" fontId="21" fillId="0" borderId="65" xfId="0" applyNumberFormat="1" applyFont="1" applyBorder="1" applyAlignment="1">
      <alignment horizontal="right"/>
    </xf>
    <xf numFmtId="0" fontId="67" fillId="0" borderId="65" xfId="0" applyFont="1" applyBorder="1"/>
    <xf numFmtId="3" fontId="0" fillId="0" borderId="65" xfId="0" applyNumberFormat="1" applyFont="1" applyBorder="1"/>
    <xf numFmtId="0" fontId="0" fillId="0" borderId="0" xfId="0" applyFont="1" applyAlignment="1"/>
    <xf numFmtId="0" fontId="12" fillId="0" borderId="91" xfId="0" applyFont="1" applyBorder="1" applyAlignment="1">
      <alignment horizontal="center"/>
    </xf>
    <xf numFmtId="0" fontId="12" fillId="0" borderId="92" xfId="0" applyFont="1" applyBorder="1" applyAlignment="1">
      <alignment horizontal="center"/>
    </xf>
    <xf numFmtId="3" fontId="21" fillId="0" borderId="93" xfId="0" applyNumberFormat="1" applyFont="1" applyFill="1" applyBorder="1" applyAlignment="1">
      <alignment horizontal="center"/>
    </xf>
    <xf numFmtId="0" fontId="12" fillId="0" borderId="138" xfId="0" applyFont="1" applyBorder="1" applyAlignment="1">
      <alignment horizontal="center"/>
    </xf>
    <xf numFmtId="3" fontId="21" fillId="0" borderId="108" xfId="0" applyNumberFormat="1" applyFont="1" applyFill="1" applyBorder="1" applyAlignment="1">
      <alignment horizontal="center"/>
    </xf>
    <xf numFmtId="3" fontId="21" fillId="25" borderId="107" xfId="0" applyNumberFormat="1" applyFont="1" applyFill="1" applyBorder="1" applyAlignment="1">
      <alignment horizontal="center"/>
    </xf>
    <xf numFmtId="3" fontId="12" fillId="0" borderId="68" xfId="0" applyNumberFormat="1" applyFont="1" applyBorder="1" applyAlignment="1">
      <alignment horizontal="center"/>
    </xf>
    <xf numFmtId="3" fontId="12" fillId="0" borderId="71" xfId="0" applyNumberFormat="1" applyFont="1" applyBorder="1" applyAlignment="1">
      <alignment horizontal="center"/>
    </xf>
    <xf numFmtId="3" fontId="12" fillId="0" borderId="73" xfId="0" applyNumberFormat="1" applyFont="1" applyBorder="1" applyAlignment="1">
      <alignment horizontal="center"/>
    </xf>
    <xf numFmtId="3" fontId="41" fillId="0" borderId="65" xfId="0" applyNumberFormat="1" applyFont="1" applyBorder="1" applyAlignment="1">
      <alignment horizontal="center"/>
    </xf>
    <xf numFmtId="0" fontId="4" fillId="0" borderId="65" xfId="0" applyFont="1" applyBorder="1"/>
    <xf numFmtId="0" fontId="4" fillId="0" borderId="76" xfId="0" applyFont="1" applyBorder="1"/>
    <xf numFmtId="3" fontId="30" fillId="0" borderId="40" xfId="0" applyNumberFormat="1" applyFont="1" applyBorder="1"/>
    <xf numFmtId="0" fontId="50" fillId="20" borderId="0" xfId="0" applyFont="1" applyFill="1" applyAlignment="1">
      <alignment horizontal="center" vertical="center"/>
    </xf>
    <xf numFmtId="3" fontId="30" fillId="13" borderId="42" xfId="0" applyNumberFormat="1" applyFont="1" applyFill="1" applyBorder="1"/>
    <xf numFmtId="3" fontId="30" fillId="0" borderId="48" xfId="0" applyNumberFormat="1" applyFont="1" applyBorder="1"/>
    <xf numFmtId="3" fontId="0" fillId="0" borderId="67" xfId="0" applyNumberFormat="1" applyFont="1" applyBorder="1" applyAlignment="1"/>
    <xf numFmtId="3" fontId="88" fillId="0" borderId="28" xfId="0" applyNumberFormat="1" applyFont="1" applyBorder="1"/>
    <xf numFmtId="3" fontId="88" fillId="0" borderId="1" xfId="0" applyNumberFormat="1" applyFont="1" applyBorder="1"/>
    <xf numFmtId="3" fontId="88" fillId="0" borderId="24" xfId="0" applyNumberFormat="1" applyFont="1" applyBorder="1"/>
    <xf numFmtId="3" fontId="66" fillId="0" borderId="79" xfId="0" applyNumberFormat="1" applyFont="1" applyBorder="1" applyAlignment="1">
      <alignment horizontal="left"/>
    </xf>
    <xf numFmtId="0" fontId="0" fillId="0" borderId="0" xfId="0" applyFont="1" applyAlignment="1"/>
    <xf numFmtId="0" fontId="9" fillId="0" borderId="0" xfId="0" applyFont="1" applyAlignment="1">
      <alignment horizontal="center"/>
    </xf>
    <xf numFmtId="3" fontId="6" fillId="0" borderId="43" xfId="0" applyNumberFormat="1" applyFont="1" applyBorder="1"/>
    <xf numFmtId="0" fontId="6" fillId="0" borderId="6" xfId="0" applyFont="1" applyFill="1" applyBorder="1"/>
    <xf numFmtId="0" fontId="10" fillId="0" borderId="0" xfId="0" applyFont="1"/>
    <xf numFmtId="3" fontId="67" fillId="26" borderId="0" xfId="0" applyNumberFormat="1" applyFont="1" applyFill="1" applyAlignment="1"/>
    <xf numFmtId="3" fontId="0" fillId="0" borderId="0" xfId="0" applyNumberFormat="1" applyFont="1" applyAlignment="1">
      <alignment horizontal="right"/>
    </xf>
    <xf numFmtId="3" fontId="6" fillId="0" borderId="65" xfId="0" applyNumberFormat="1" applyFont="1" applyBorder="1" applyAlignment="1"/>
    <xf numFmtId="3" fontId="6" fillId="0" borderId="1" xfId="0" applyNumberFormat="1" applyFont="1" applyBorder="1" applyAlignment="1">
      <alignment horizontal="right"/>
    </xf>
    <xf numFmtId="0" fontId="4" fillId="0" borderId="3" xfId="0" applyFont="1" applyBorder="1" applyAlignment="1"/>
    <xf numFmtId="0" fontId="4" fillId="0" borderId="4" xfId="0" applyFont="1" applyBorder="1" applyAlignment="1"/>
    <xf numFmtId="0" fontId="4" fillId="0" borderId="5" xfId="0" applyFont="1" applyBorder="1" applyAlignment="1"/>
    <xf numFmtId="0" fontId="41" fillId="20" borderId="0" xfId="0" applyFont="1" applyFill="1"/>
    <xf numFmtId="0" fontId="41" fillId="2" borderId="2" xfId="0" applyFont="1" applyFill="1" applyBorder="1" applyAlignment="1">
      <alignment vertical="center"/>
    </xf>
    <xf numFmtId="3" fontId="6" fillId="0" borderId="65" xfId="0" applyNumberFormat="1" applyFont="1" applyBorder="1" applyAlignment="1">
      <alignment horizontal="right"/>
    </xf>
    <xf numFmtId="3" fontId="9" fillId="0" borderId="65" xfId="0" applyNumberFormat="1" applyFont="1" applyBorder="1"/>
    <xf numFmtId="3" fontId="4" fillId="0" borderId="65" xfId="0" applyNumberFormat="1" applyFont="1" applyBorder="1" applyAlignment="1"/>
    <xf numFmtId="0" fontId="9" fillId="0" borderId="43" xfId="0" applyFont="1" applyBorder="1"/>
    <xf numFmtId="0" fontId="4" fillId="0" borderId="43" xfId="0" applyFont="1" applyBorder="1" applyAlignment="1"/>
    <xf numFmtId="3" fontId="0" fillId="0" borderId="43" xfId="0" applyNumberFormat="1" applyFont="1" applyBorder="1"/>
    <xf numFmtId="3" fontId="9" fillId="0" borderId="43" xfId="0" applyNumberFormat="1" applyFont="1" applyBorder="1"/>
    <xf numFmtId="3" fontId="4" fillId="0" borderId="43" xfId="0" applyNumberFormat="1" applyFont="1" applyBorder="1" applyAlignment="1"/>
    <xf numFmtId="0" fontId="0" fillId="0" borderId="0" xfId="0" applyFont="1" applyAlignment="1"/>
    <xf numFmtId="0" fontId="6" fillId="0" borderId="0" xfId="0" applyFont="1" applyAlignment="1"/>
    <xf numFmtId="0" fontId="11" fillId="0" borderId="0" xfId="0" applyFont="1" applyAlignment="1"/>
    <xf numFmtId="3" fontId="6" fillId="0" borderId="0" xfId="0" applyNumberFormat="1" applyFont="1" applyAlignment="1"/>
    <xf numFmtId="0" fontId="9" fillId="20" borderId="0" xfId="0" applyFont="1" applyFill="1" applyAlignment="1">
      <alignment horizontal="center"/>
    </xf>
    <xf numFmtId="0" fontId="6" fillId="20" borderId="6" xfId="0" applyFont="1" applyFill="1" applyBorder="1"/>
    <xf numFmtId="0" fontId="6" fillId="20" borderId="0" xfId="0" applyFont="1" applyFill="1"/>
    <xf numFmtId="3" fontId="6" fillId="20" borderId="0" xfId="0" applyNumberFormat="1" applyFont="1" applyFill="1" applyAlignment="1"/>
    <xf numFmtId="0" fontId="12" fillId="13" borderId="65" xfId="0" applyFont="1" applyFill="1" applyBorder="1"/>
    <xf numFmtId="3" fontId="12" fillId="13" borderId="65" xfId="0" applyNumberFormat="1" applyFont="1" applyFill="1" applyBorder="1"/>
    <xf numFmtId="0" fontId="12" fillId="0" borderId="65" xfId="0" applyFont="1" applyBorder="1"/>
    <xf numFmtId="0" fontId="12" fillId="13" borderId="69" xfId="0" applyFont="1" applyFill="1" applyBorder="1"/>
    <xf numFmtId="3" fontId="12" fillId="13" borderId="69" xfId="0" applyNumberFormat="1" applyFont="1" applyFill="1" applyBorder="1"/>
    <xf numFmtId="3" fontId="12" fillId="13" borderId="70" xfId="0" applyNumberFormat="1" applyFont="1" applyFill="1" applyBorder="1"/>
    <xf numFmtId="3" fontId="12" fillId="13" borderId="72" xfId="0" applyNumberFormat="1" applyFont="1" applyFill="1" applyBorder="1"/>
    <xf numFmtId="0" fontId="12" fillId="0" borderId="74" xfId="0" applyFont="1" applyBorder="1"/>
    <xf numFmtId="3" fontId="9" fillId="0" borderId="1" xfId="0" applyNumberFormat="1" applyFont="1" applyBorder="1"/>
    <xf numFmtId="3" fontId="4" fillId="0" borderId="22" xfId="0" applyNumberFormat="1" applyFont="1" applyBorder="1" applyAlignment="1"/>
    <xf numFmtId="3" fontId="14" fillId="0" borderId="0" xfId="0" applyNumberFormat="1" applyFont="1"/>
    <xf numFmtId="3" fontId="61" fillId="0" borderId="0" xfId="0" applyNumberFormat="1" applyFont="1"/>
    <xf numFmtId="3" fontId="41" fillId="0" borderId="0" xfId="0" applyNumberFormat="1" applyFont="1"/>
    <xf numFmtId="3" fontId="20" fillId="0" borderId="0" xfId="0" applyNumberFormat="1" applyFont="1"/>
    <xf numFmtId="3" fontId="8" fillId="0" borderId="0" xfId="0" applyNumberFormat="1" applyFont="1" applyAlignment="1">
      <alignment horizontal="left"/>
    </xf>
    <xf numFmtId="3" fontId="6" fillId="0" borderId="0" xfId="0" applyNumberFormat="1" applyFont="1" applyAlignment="1">
      <alignment horizontal="right"/>
    </xf>
    <xf numFmtId="3" fontId="6" fillId="2" borderId="65" xfId="0" applyNumberFormat="1" applyFont="1" applyFill="1" applyBorder="1" applyAlignment="1">
      <alignment horizontal="right"/>
    </xf>
    <xf numFmtId="3" fontId="12" fillId="0" borderId="65" xfId="0" applyNumberFormat="1" applyFont="1" applyBorder="1" applyAlignment="1">
      <alignment horizontal="right"/>
    </xf>
    <xf numFmtId="3" fontId="6" fillId="0" borderId="43" xfId="0" applyNumberFormat="1" applyFont="1" applyBorder="1" applyAlignment="1">
      <alignment horizontal="right"/>
    </xf>
    <xf numFmtId="3" fontId="67" fillId="26" borderId="0" xfId="0" applyNumberFormat="1" applyFont="1" applyFill="1" applyAlignment="1">
      <alignment horizontal="right"/>
    </xf>
    <xf numFmtId="0" fontId="30" fillId="26" borderId="0" xfId="0" applyFont="1" applyFill="1" applyAlignment="1">
      <alignment horizontal="right"/>
    </xf>
    <xf numFmtId="3" fontId="91" fillId="0" borderId="43" xfId="0" applyNumberFormat="1" applyFont="1" applyBorder="1" applyAlignment="1">
      <alignment horizontal="center"/>
    </xf>
    <xf numFmtId="0" fontId="61" fillId="0" borderId="43" xfId="0" applyFont="1" applyBorder="1"/>
    <xf numFmtId="3" fontId="91" fillId="0" borderId="0" xfId="0" applyNumberFormat="1" applyFont="1" applyAlignment="1">
      <alignment horizontal="center"/>
    </xf>
    <xf numFmtId="0" fontId="41" fillId="0" borderId="43" xfId="0" applyFont="1" applyBorder="1" applyAlignment="1">
      <alignment horizontal="left"/>
    </xf>
    <xf numFmtId="0" fontId="25" fillId="0" borderId="43" xfId="0" applyFont="1" applyBorder="1" applyAlignment="1">
      <alignment horizontal="righ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3" fontId="0" fillId="0" borderId="0" xfId="0" applyNumberFormat="1" applyFont="1" applyAlignment="1"/>
    <xf numFmtId="0" fontId="92" fillId="0" borderId="91" xfId="0" applyFont="1" applyBorder="1" applyAlignment="1">
      <alignment horizontal="center"/>
    </xf>
    <xf numFmtId="0" fontId="92" fillId="0" borderId="92" xfId="0" applyFont="1" applyBorder="1" applyAlignment="1">
      <alignment horizontal="center"/>
    </xf>
    <xf numFmtId="0" fontId="92" fillId="0" borderId="138" xfId="0" applyFont="1" applyBorder="1" applyAlignment="1">
      <alignment horizontal="center"/>
    </xf>
    <xf numFmtId="3" fontId="93" fillId="25" borderId="107" xfId="0" applyNumberFormat="1" applyFont="1" applyFill="1" applyBorder="1" applyAlignment="1">
      <alignment horizontal="center"/>
    </xf>
    <xf numFmtId="3" fontId="93" fillId="0" borderId="108" xfId="0" applyNumberFormat="1" applyFont="1" applyFill="1" applyBorder="1" applyAlignment="1">
      <alignment horizontal="center"/>
    </xf>
    <xf numFmtId="3" fontId="93" fillId="0" borderId="92" xfId="0" applyNumberFormat="1" applyFont="1" applyFill="1" applyBorder="1" applyAlignment="1">
      <alignment horizontal="center"/>
    </xf>
    <xf numFmtId="3" fontId="93" fillId="0" borderId="93" xfId="0" applyNumberFormat="1" applyFont="1" applyFill="1" applyBorder="1" applyAlignment="1">
      <alignment horizontal="center"/>
    </xf>
    <xf numFmtId="0" fontId="92" fillId="0" borderId="68" xfId="0" applyFont="1" applyBorder="1" applyAlignment="1">
      <alignment horizontal="center"/>
    </xf>
    <xf numFmtId="0" fontId="92" fillId="0" borderId="69" xfId="0" applyFont="1" applyBorder="1" applyAlignment="1"/>
    <xf numFmtId="0" fontId="92" fillId="0" borderId="78" xfId="0" applyFont="1" applyBorder="1" applyAlignment="1"/>
    <xf numFmtId="3" fontId="92" fillId="25" borderId="103" xfId="0" applyNumberFormat="1" applyFont="1" applyFill="1" applyBorder="1" applyAlignment="1"/>
    <xf numFmtId="3" fontId="92" fillId="0" borderId="100" xfId="0" applyNumberFormat="1" applyFont="1" applyFill="1" applyBorder="1" applyAlignment="1"/>
    <xf numFmtId="0" fontId="92" fillId="0" borderId="73" xfId="0" applyFont="1" applyBorder="1" applyAlignment="1">
      <alignment horizontal="center"/>
    </xf>
    <xf numFmtId="0" fontId="92" fillId="0" borderId="74" xfId="0" applyFont="1" applyBorder="1" applyAlignment="1"/>
    <xf numFmtId="0" fontId="92" fillId="0" borderId="79" xfId="0" applyFont="1" applyBorder="1" applyAlignment="1"/>
    <xf numFmtId="3" fontId="92" fillId="25" borderId="105" xfId="0" applyNumberFormat="1" applyFont="1" applyFill="1" applyBorder="1" applyAlignment="1"/>
    <xf numFmtId="3" fontId="92" fillId="0" borderId="102" xfId="0" applyNumberFormat="1" applyFont="1" applyFill="1" applyBorder="1" applyAlignment="1"/>
    <xf numFmtId="3" fontId="92" fillId="0" borderId="74" xfId="0" applyNumberFormat="1" applyFont="1" applyFill="1" applyBorder="1" applyAlignment="1"/>
    <xf numFmtId="3" fontId="92" fillId="0" borderId="75" xfId="0" applyNumberFormat="1" applyFont="1" applyFill="1" applyBorder="1" applyAlignment="1"/>
    <xf numFmtId="0" fontId="92" fillId="0" borderId="86" xfId="0" applyFont="1" applyBorder="1" applyAlignment="1">
      <alignment horizontal="center"/>
    </xf>
    <xf numFmtId="0" fontId="92" fillId="0" borderId="67" xfId="0" applyFont="1" applyBorder="1" applyAlignment="1"/>
    <xf numFmtId="0" fontId="92" fillId="0" borderId="80" xfId="0" applyFont="1" applyBorder="1" applyAlignment="1"/>
    <xf numFmtId="3" fontId="92" fillId="25" borderId="109" xfId="0" applyNumberFormat="1" applyFont="1" applyFill="1" applyBorder="1" applyAlignment="1"/>
    <xf numFmtId="3" fontId="92" fillId="0" borderId="110" xfId="0" applyNumberFormat="1" applyFont="1" applyBorder="1" applyAlignment="1"/>
    <xf numFmtId="0" fontId="92" fillId="0" borderId="71" xfId="0" applyFont="1" applyBorder="1" applyAlignment="1">
      <alignment horizontal="center"/>
    </xf>
    <xf numFmtId="0" fontId="92" fillId="0" borderId="65" xfId="0" applyFont="1" applyBorder="1" applyAlignment="1"/>
    <xf numFmtId="0" fontId="92" fillId="0" borderId="76" xfId="0" applyFont="1" applyBorder="1" applyAlignment="1"/>
    <xf numFmtId="3" fontId="92" fillId="25" borderId="104" xfId="0" applyNumberFormat="1" applyFont="1" applyFill="1" applyBorder="1" applyAlignment="1"/>
    <xf numFmtId="0" fontId="92" fillId="0" borderId="84" xfId="0" applyFont="1" applyBorder="1" applyAlignment="1">
      <alignment horizontal="center"/>
    </xf>
    <xf numFmtId="0" fontId="92" fillId="0" borderId="66" xfId="0" applyFont="1" applyBorder="1" applyAlignment="1"/>
    <xf numFmtId="0" fontId="92" fillId="0" borderId="77" xfId="0" applyFont="1" applyBorder="1" applyAlignment="1"/>
    <xf numFmtId="3" fontId="92" fillId="25" borderId="111" xfId="0" applyNumberFormat="1" applyFont="1" applyFill="1" applyBorder="1" applyAlignment="1"/>
    <xf numFmtId="3" fontId="92" fillId="0" borderId="100" xfId="0" applyNumberFormat="1" applyFont="1" applyBorder="1" applyAlignment="1"/>
    <xf numFmtId="3" fontId="92" fillId="0" borderId="101" xfId="0" applyNumberFormat="1" applyFont="1" applyBorder="1" applyAlignment="1"/>
    <xf numFmtId="3" fontId="92" fillId="0" borderId="65" xfId="0" applyNumberFormat="1" applyFont="1" applyFill="1" applyBorder="1" applyAlignment="1"/>
    <xf numFmtId="3" fontId="92" fillId="0" borderId="112" xfId="0" applyNumberFormat="1" applyFont="1" applyFill="1" applyBorder="1" applyAlignment="1"/>
    <xf numFmtId="3" fontId="92" fillId="0" borderId="66" xfId="0" applyNumberFormat="1" applyFont="1" applyFill="1" applyBorder="1" applyAlignment="1"/>
    <xf numFmtId="3" fontId="92" fillId="0" borderId="85" xfId="0" applyNumberFormat="1" applyFont="1" applyFill="1" applyBorder="1" applyAlignment="1"/>
    <xf numFmtId="3" fontId="92" fillId="0" borderId="65" xfId="0" applyNumberFormat="1" applyFont="1" applyBorder="1" applyAlignment="1"/>
    <xf numFmtId="3" fontId="92" fillId="0" borderId="67" xfId="0" applyNumberFormat="1" applyFont="1" applyBorder="1" applyAlignment="1"/>
    <xf numFmtId="3" fontId="92" fillId="0" borderId="69" xfId="0" applyNumberFormat="1" applyFont="1" applyBorder="1" applyAlignment="1"/>
    <xf numFmtId="3" fontId="92" fillId="0" borderId="70" xfId="0" applyNumberFormat="1" applyFont="1" applyBorder="1" applyAlignment="1"/>
    <xf numFmtId="3" fontId="92" fillId="0" borderId="72" xfId="0" applyNumberFormat="1" applyFont="1" applyBorder="1" applyAlignment="1"/>
    <xf numFmtId="3" fontId="92" fillId="0" borderId="67" xfId="0" applyNumberFormat="1" applyFont="1" applyFill="1" applyBorder="1" applyAlignment="1"/>
    <xf numFmtId="0" fontId="94" fillId="0" borderId="69" xfId="0" applyFont="1" applyBorder="1" applyAlignment="1"/>
    <xf numFmtId="3" fontId="92" fillId="0" borderId="69" xfId="0" applyNumberFormat="1" applyFont="1" applyFill="1" applyBorder="1" applyAlignment="1"/>
    <xf numFmtId="3" fontId="92" fillId="0" borderId="70" xfId="0" applyNumberFormat="1" applyFont="1" applyFill="1" applyBorder="1" applyAlignment="1"/>
    <xf numFmtId="3" fontId="92" fillId="0" borderId="71" xfId="0" applyNumberFormat="1" applyFont="1" applyBorder="1" applyAlignment="1">
      <alignment horizontal="center"/>
    </xf>
    <xf numFmtId="3" fontId="92" fillId="0" borderId="72" xfId="0" applyNumberFormat="1" applyFont="1" applyFill="1" applyBorder="1" applyAlignment="1"/>
    <xf numFmtId="3" fontId="92" fillId="0" borderId="73" xfId="0" applyNumberFormat="1" applyFont="1" applyBorder="1" applyAlignment="1">
      <alignment horizontal="center"/>
    </xf>
    <xf numFmtId="3" fontId="92" fillId="0" borderId="74" xfId="0" applyNumberFormat="1" applyFont="1" applyBorder="1" applyAlignment="1"/>
    <xf numFmtId="3" fontId="92" fillId="0" borderId="139" xfId="0" applyNumberFormat="1" applyFont="1" applyFill="1" applyBorder="1" applyAlignment="1"/>
    <xf numFmtId="3" fontId="92" fillId="0" borderId="87" xfId="0" applyNumberFormat="1" applyFont="1" applyBorder="1" applyAlignment="1"/>
    <xf numFmtId="3" fontId="92" fillId="0" borderId="87" xfId="0" applyNumberFormat="1" applyFont="1" applyFill="1" applyBorder="1" applyAlignment="1"/>
    <xf numFmtId="3" fontId="92" fillId="0" borderId="76" xfId="0" applyNumberFormat="1" applyFont="1" applyBorder="1" applyAlignment="1"/>
    <xf numFmtId="3" fontId="92" fillId="0" borderId="79" xfId="0" applyNumberFormat="1" applyFont="1" applyBorder="1" applyAlignment="1"/>
    <xf numFmtId="3" fontId="92" fillId="0" borderId="110" xfId="0" applyNumberFormat="1" applyFont="1" applyFill="1" applyBorder="1" applyAlignment="1"/>
    <xf numFmtId="3" fontId="92" fillId="0" borderId="101" xfId="0" applyNumberFormat="1" applyFont="1" applyFill="1" applyBorder="1" applyAlignment="1"/>
    <xf numFmtId="3" fontId="30" fillId="0" borderId="78" xfId="0" applyNumberFormat="1" applyFont="1" applyBorder="1" applyAlignment="1"/>
    <xf numFmtId="3" fontId="30" fillId="0" borderId="76" xfId="0" applyNumberFormat="1" applyFont="1" applyBorder="1" applyAlignment="1"/>
    <xf numFmtId="3" fontId="30" fillId="0" borderId="79" xfId="0" applyNumberFormat="1" applyFont="1" applyBorder="1" applyAlignment="1"/>
    <xf numFmtId="3" fontId="30" fillId="23" borderId="102" xfId="0" applyNumberFormat="1" applyFont="1" applyFill="1" applyBorder="1" applyAlignment="1"/>
    <xf numFmtId="3" fontId="12" fillId="0" borderId="103" xfId="0" applyNumberFormat="1" applyFont="1" applyBorder="1" applyAlignment="1"/>
    <xf numFmtId="3" fontId="12" fillId="0" borderId="104" xfId="0" applyNumberFormat="1" applyFont="1" applyBorder="1" applyAlignment="1"/>
    <xf numFmtId="3" fontId="12" fillId="0" borderId="105" xfId="0" applyNumberFormat="1" applyFont="1" applyBorder="1" applyAlignment="1"/>
    <xf numFmtId="0" fontId="0" fillId="0" borderId="0" xfId="0" applyFont="1" applyAlignment="1"/>
    <xf numFmtId="3" fontId="28" fillId="23" borderId="65" xfId="0" applyNumberFormat="1" applyFont="1" applyFill="1" applyBorder="1"/>
    <xf numFmtId="3" fontId="12" fillId="23" borderId="65" xfId="0" applyNumberFormat="1" applyFont="1" applyFill="1" applyBorder="1"/>
    <xf numFmtId="0" fontId="4" fillId="22" borderId="104" xfId="0" applyFont="1" applyFill="1" applyBorder="1"/>
    <xf numFmtId="0" fontId="4" fillId="22" borderId="105" xfId="0" applyFont="1" applyFill="1" applyBorder="1"/>
    <xf numFmtId="0" fontId="0" fillId="0" borderId="0" xfId="0" applyFont="1" applyAlignment="1"/>
    <xf numFmtId="3" fontId="0" fillId="0" borderId="0" xfId="0" applyNumberFormat="1" applyFont="1" applyAlignment="1"/>
    <xf numFmtId="0" fontId="4" fillId="22" borderId="109" xfId="0" applyFont="1" applyFill="1" applyBorder="1"/>
    <xf numFmtId="0" fontId="4" fillId="22" borderId="103" xfId="0" applyFont="1" applyFill="1" applyBorder="1"/>
    <xf numFmtId="3" fontId="12" fillId="0" borderId="116" xfId="0" applyNumberFormat="1" applyFont="1" applyBorder="1" applyAlignment="1"/>
    <xf numFmtId="3" fontId="12" fillId="0" borderId="121" xfId="0" applyNumberFormat="1" applyFont="1" applyBorder="1" applyAlignment="1"/>
    <xf numFmtId="0" fontId="4" fillId="22" borderId="111" xfId="0" applyFont="1" applyFill="1" applyBorder="1"/>
    <xf numFmtId="3" fontId="0" fillId="0" borderId="43" xfId="0" applyNumberFormat="1" applyFont="1" applyBorder="1" applyAlignment="1"/>
    <xf numFmtId="3" fontId="0" fillId="0" borderId="121" xfId="0" applyNumberFormat="1" applyFont="1" applyBorder="1" applyAlignment="1"/>
    <xf numFmtId="3" fontId="0" fillId="0" borderId="116" xfId="0" applyNumberFormat="1" applyFont="1" applyBorder="1" applyAlignment="1"/>
    <xf numFmtId="3" fontId="0" fillId="0" borderId="101" xfId="0" applyNumberFormat="1" applyFont="1" applyBorder="1" applyAlignment="1"/>
    <xf numFmtId="3" fontId="0" fillId="0" borderId="103" xfId="0" applyNumberFormat="1" applyFont="1" applyBorder="1" applyAlignment="1"/>
    <xf numFmtId="3" fontId="0" fillId="0" borderId="104" xfId="0" applyNumberFormat="1" applyFont="1" applyBorder="1" applyAlignment="1"/>
    <xf numFmtId="3" fontId="0" fillId="0" borderId="105" xfId="0" applyNumberFormat="1" applyFont="1" applyBorder="1" applyAlignment="1"/>
    <xf numFmtId="3" fontId="0" fillId="0" borderId="111" xfId="0" applyNumberFormat="1" applyFont="1" applyBorder="1" applyAlignment="1"/>
    <xf numFmtId="3" fontId="0" fillId="0" borderId="112" xfId="0" applyNumberFormat="1" applyFont="1" applyBorder="1" applyAlignment="1"/>
    <xf numFmtId="3" fontId="0" fillId="0" borderId="66" xfId="0" applyNumberFormat="1" applyFont="1" applyBorder="1" applyAlignment="1"/>
    <xf numFmtId="3" fontId="0" fillId="0" borderId="109" xfId="0" applyNumberFormat="1" applyFont="1" applyBorder="1" applyAlignment="1"/>
    <xf numFmtId="3" fontId="12" fillId="0" borderId="110" xfId="0" applyNumberFormat="1" applyFont="1" applyBorder="1" applyAlignment="1"/>
    <xf numFmtId="3" fontId="12" fillId="0" borderId="67" xfId="0" applyNumberFormat="1" applyFont="1" applyBorder="1" applyAlignment="1"/>
    <xf numFmtId="3" fontId="12" fillId="0" borderId="112" xfId="0" applyNumberFormat="1" applyFont="1" applyBorder="1" applyAlignment="1"/>
    <xf numFmtId="3" fontId="12" fillId="0" borderId="66" xfId="0" applyNumberFormat="1" applyFont="1" applyBorder="1" applyAlignment="1"/>
    <xf numFmtId="3" fontId="0" fillId="0" borderId="110" xfId="0" applyNumberFormat="1" applyFont="1" applyBorder="1" applyAlignment="1"/>
    <xf numFmtId="3" fontId="0" fillId="0" borderId="100" xfId="0" applyNumberFormat="1" applyFont="1" applyBorder="1" applyAlignment="1"/>
    <xf numFmtId="3" fontId="0" fillId="0" borderId="70" xfId="0" applyNumberFormat="1" applyFont="1" applyBorder="1" applyAlignment="1"/>
    <xf numFmtId="3" fontId="0" fillId="0" borderId="85" xfId="0" applyNumberFormat="1" applyFont="1" applyBorder="1" applyAlignment="1"/>
    <xf numFmtId="3" fontId="12" fillId="0" borderId="87" xfId="0" applyNumberFormat="1" applyFont="1" applyBorder="1" applyAlignment="1"/>
    <xf numFmtId="3" fontId="12" fillId="0" borderId="85" xfId="0" applyNumberFormat="1" applyFont="1" applyBorder="1" applyAlignment="1"/>
    <xf numFmtId="3" fontId="0" fillId="0" borderId="87" xfId="0" applyNumberFormat="1" applyFont="1" applyBorder="1" applyAlignment="1"/>
    <xf numFmtId="0" fontId="31" fillId="0" borderId="105" xfId="0" applyFont="1" applyBorder="1"/>
    <xf numFmtId="3" fontId="12" fillId="0" borderId="43" xfId="0" applyNumberFormat="1" applyFont="1" applyFill="1" applyBorder="1" applyAlignment="1"/>
    <xf numFmtId="3" fontId="0" fillId="0" borderId="139" xfId="0" applyNumberFormat="1" applyFont="1" applyBorder="1" applyAlignment="1"/>
    <xf numFmtId="3" fontId="0" fillId="0" borderId="140" xfId="0" applyNumberFormat="1" applyFont="1" applyBorder="1" applyAlignment="1"/>
    <xf numFmtId="3" fontId="12" fillId="0" borderId="141" xfId="0" applyNumberFormat="1" applyFont="1" applyBorder="1" applyAlignment="1"/>
    <xf numFmtId="0" fontId="0" fillId="0" borderId="0" xfId="0" applyFont="1" applyAlignment="1"/>
    <xf numFmtId="3" fontId="21" fillId="0" borderId="0" xfId="0" applyNumberFormat="1" applyFont="1" applyAlignment="1">
      <alignment horizontal="left"/>
    </xf>
    <xf numFmtId="3" fontId="21" fillId="20" borderId="9" xfId="0" applyNumberFormat="1" applyFont="1" applyFill="1" applyBorder="1" applyAlignment="1">
      <alignment horizontal="right"/>
    </xf>
    <xf numFmtId="3" fontId="31" fillId="20" borderId="0" xfId="0" applyNumberFormat="1" applyFont="1" applyFill="1"/>
    <xf numFmtId="3" fontId="96" fillId="23" borderId="65" xfId="0" applyNumberFormat="1" applyFont="1" applyFill="1" applyBorder="1"/>
    <xf numFmtId="3" fontId="96" fillId="0" borderId="65" xfId="0" applyNumberFormat="1" applyFont="1" applyBorder="1"/>
    <xf numFmtId="3" fontId="97" fillId="0" borderId="65" xfId="0" applyNumberFormat="1" applyFont="1" applyBorder="1"/>
    <xf numFmtId="3" fontId="97" fillId="22" borderId="65" xfId="0" applyNumberFormat="1" applyFont="1" applyFill="1" applyBorder="1"/>
    <xf numFmtId="3" fontId="97" fillId="0" borderId="65" xfId="0" applyNumberFormat="1" applyFont="1" applyBorder="1" applyAlignment="1"/>
    <xf numFmtId="3" fontId="97" fillId="22" borderId="65" xfId="0" applyNumberFormat="1" applyFont="1" applyFill="1" applyBorder="1" applyAlignment="1"/>
    <xf numFmtId="3" fontId="97" fillId="32" borderId="65" xfId="0" applyNumberFormat="1" applyFont="1" applyFill="1" applyBorder="1"/>
    <xf numFmtId="3" fontId="97" fillId="32" borderId="65" xfId="0" applyNumberFormat="1" applyFont="1" applyFill="1" applyBorder="1" applyAlignment="1"/>
    <xf numFmtId="0" fontId="97" fillId="0" borderId="65" xfId="0" applyFont="1" applyBorder="1" applyAlignment="1"/>
    <xf numFmtId="3" fontId="30" fillId="23" borderId="68" xfId="0" applyNumberFormat="1" applyFont="1" applyFill="1" applyBorder="1" applyAlignment="1">
      <alignment horizontal="center" vertical="center"/>
    </xf>
    <xf numFmtId="3" fontId="28" fillId="23" borderId="69" xfId="0" applyNumberFormat="1" applyFont="1" applyFill="1" applyBorder="1"/>
    <xf numFmtId="3" fontId="12" fillId="23" borderId="69" xfId="0" applyNumberFormat="1" applyFont="1" applyFill="1" applyBorder="1"/>
    <xf numFmtId="3" fontId="12" fillId="23" borderId="70" xfId="0" applyNumberFormat="1" applyFont="1" applyFill="1" applyBorder="1"/>
    <xf numFmtId="3" fontId="30" fillId="23" borderId="71" xfId="0" applyNumberFormat="1" applyFont="1" applyFill="1" applyBorder="1" applyAlignment="1">
      <alignment horizontal="center" vertical="center"/>
    </xf>
    <xf numFmtId="3" fontId="12" fillId="23" borderId="72" xfId="0" applyNumberFormat="1" applyFont="1" applyFill="1" applyBorder="1"/>
    <xf numFmtId="3" fontId="30" fillId="23" borderId="73" xfId="0" applyNumberFormat="1" applyFont="1" applyFill="1" applyBorder="1" applyAlignment="1">
      <alignment horizontal="center" vertical="center"/>
    </xf>
    <xf numFmtId="3" fontId="28" fillId="23" borderId="74" xfId="0" applyNumberFormat="1" applyFont="1" applyFill="1" applyBorder="1"/>
    <xf numFmtId="3" fontId="12" fillId="23" borderId="74" xfId="0" applyNumberFormat="1" applyFont="1" applyFill="1" applyBorder="1"/>
    <xf numFmtId="3" fontId="12" fillId="23" borderId="75" xfId="0" applyNumberFormat="1" applyFont="1" applyFill="1" applyBorder="1"/>
    <xf numFmtId="3" fontId="12" fillId="23" borderId="78" xfId="0" applyNumberFormat="1" applyFont="1" applyFill="1" applyBorder="1"/>
    <xf numFmtId="3" fontId="12" fillId="23" borderId="76" xfId="0" applyNumberFormat="1" applyFont="1" applyFill="1" applyBorder="1"/>
    <xf numFmtId="3" fontId="12" fillId="23" borderId="79" xfId="0" applyNumberFormat="1" applyFont="1" applyFill="1" applyBorder="1"/>
    <xf numFmtId="3" fontId="12" fillId="23" borderId="68" xfId="0" applyNumberFormat="1" applyFont="1" applyFill="1" applyBorder="1"/>
    <xf numFmtId="3" fontId="12" fillId="23" borderId="71" xfId="0" applyNumberFormat="1" applyFont="1" applyFill="1" applyBorder="1"/>
    <xf numFmtId="3" fontId="12" fillId="23" borderId="73" xfId="0" applyNumberFormat="1" applyFont="1" applyFill="1" applyBorder="1"/>
    <xf numFmtId="3" fontId="97" fillId="0" borderId="76" xfId="0" applyNumberFormat="1" applyFont="1" applyBorder="1"/>
    <xf numFmtId="3" fontId="97" fillId="0" borderId="76" xfId="0" applyNumberFormat="1" applyFont="1" applyBorder="1" applyAlignment="1"/>
    <xf numFmtId="0" fontId="97" fillId="0" borderId="76" xfId="0" applyFont="1" applyBorder="1" applyAlignment="1"/>
    <xf numFmtId="3" fontId="97" fillId="0" borderId="68" xfId="0" applyNumberFormat="1" applyFont="1" applyBorder="1"/>
    <xf numFmtId="3" fontId="97" fillId="0" borderId="69" xfId="0" applyNumberFormat="1" applyFont="1" applyBorder="1"/>
    <xf numFmtId="3" fontId="97" fillId="0" borderId="70" xfId="0" applyNumberFormat="1" applyFont="1" applyBorder="1"/>
    <xf numFmtId="3" fontId="97" fillId="0" borderId="71" xfId="0" applyNumberFormat="1" applyFont="1" applyBorder="1"/>
    <xf numFmtId="3" fontId="97" fillId="0" borderId="72" xfId="0" applyNumberFormat="1" applyFont="1" applyBorder="1"/>
    <xf numFmtId="3" fontId="97" fillId="0" borderId="71" xfId="0" applyNumberFormat="1" applyFont="1" applyBorder="1" applyAlignment="1"/>
    <xf numFmtId="3" fontId="97" fillId="0" borderId="72" xfId="0" applyNumberFormat="1" applyFont="1" applyBorder="1" applyAlignment="1"/>
    <xf numFmtId="0" fontId="97" fillId="0" borderId="73" xfId="0" applyFont="1" applyBorder="1" applyAlignment="1"/>
    <xf numFmtId="0" fontId="97" fillId="0" borderId="74" xfId="0" applyFont="1" applyBorder="1" applyAlignment="1"/>
    <xf numFmtId="0" fontId="97" fillId="0" borderId="75" xfId="0" applyFont="1" applyBorder="1" applyAlignment="1"/>
    <xf numFmtId="3" fontId="96" fillId="23" borderId="66" xfId="0" applyNumberFormat="1" applyFont="1" applyFill="1" applyBorder="1"/>
    <xf numFmtId="3" fontId="96" fillId="0" borderId="66" xfId="0" applyNumberFormat="1" applyFont="1" applyBorder="1"/>
    <xf numFmtId="3" fontId="97" fillId="0" borderId="66" xfId="0" applyNumberFormat="1" applyFont="1" applyBorder="1"/>
    <xf numFmtId="3" fontId="97" fillId="0" borderId="77" xfId="0" applyNumberFormat="1" applyFont="1" applyBorder="1"/>
    <xf numFmtId="3" fontId="97" fillId="0" borderId="84" xfId="0" applyNumberFormat="1" applyFont="1" applyBorder="1"/>
    <xf numFmtId="3" fontId="97" fillId="0" borderId="85" xfId="0" applyNumberFormat="1" applyFont="1" applyBorder="1"/>
    <xf numFmtId="3" fontId="97" fillId="0" borderId="67" xfId="0" applyNumberFormat="1" applyFont="1" applyBorder="1"/>
    <xf numFmtId="3" fontId="97" fillId="32" borderId="67" xfId="0" applyNumberFormat="1" applyFont="1" applyFill="1" applyBorder="1"/>
    <xf numFmtId="3" fontId="97" fillId="0" borderId="80" xfId="0" applyNumberFormat="1" applyFont="1" applyBorder="1"/>
    <xf numFmtId="3" fontId="97" fillId="0" borderId="86" xfId="0" applyNumberFormat="1" applyFont="1" applyBorder="1"/>
    <xf numFmtId="3" fontId="97" fillId="0" borderId="87" xfId="0" applyNumberFormat="1" applyFont="1" applyBorder="1"/>
    <xf numFmtId="3" fontId="97" fillId="22" borderId="68" xfId="0" applyNumberFormat="1" applyFont="1" applyFill="1" applyBorder="1"/>
    <xf numFmtId="3" fontId="97" fillId="22" borderId="69" xfId="0" applyNumberFormat="1" applyFont="1" applyFill="1" applyBorder="1"/>
    <xf numFmtId="3" fontId="97" fillId="0" borderId="78" xfId="0" applyNumberFormat="1" applyFont="1" applyBorder="1"/>
    <xf numFmtId="3" fontId="97" fillId="22" borderId="71" xfId="0" applyNumberFormat="1" applyFont="1" applyFill="1" applyBorder="1"/>
    <xf numFmtId="3" fontId="97" fillId="22" borderId="73" xfId="0" applyNumberFormat="1" applyFont="1" applyFill="1" applyBorder="1"/>
    <xf numFmtId="3" fontId="97" fillId="22" borderId="74" xfId="0" applyNumberFormat="1" applyFont="1" applyFill="1" applyBorder="1" applyAlignment="1"/>
    <xf numFmtId="3" fontId="97" fillId="0" borderId="74" xfId="0" applyNumberFormat="1" applyFont="1" applyBorder="1"/>
    <xf numFmtId="3" fontId="97" fillId="0" borderId="74" xfId="0" applyNumberFormat="1" applyFont="1" applyBorder="1" applyAlignment="1"/>
    <xf numFmtId="3" fontId="97" fillId="0" borderId="79" xfId="0" applyNumberFormat="1" applyFont="1" applyBorder="1" applyAlignment="1"/>
    <xf numFmtId="3" fontId="97" fillId="0" borderId="73" xfId="0" applyNumberFormat="1" applyFont="1" applyBorder="1" applyAlignment="1"/>
    <xf numFmtId="3" fontId="97" fillId="0" borderId="75" xfId="0" applyNumberFormat="1" applyFont="1" applyBorder="1" applyAlignment="1"/>
    <xf numFmtId="3" fontId="95" fillId="23" borderId="68" xfId="0" applyNumberFormat="1" applyFont="1" applyFill="1" applyBorder="1" applyAlignment="1">
      <alignment horizontal="center" vertical="center"/>
    </xf>
    <xf numFmtId="3" fontId="96" fillId="23" borderId="69" xfId="0" applyNumberFormat="1" applyFont="1" applyFill="1" applyBorder="1"/>
    <xf numFmtId="3" fontId="96" fillId="0" borderId="69" xfId="0" applyNumberFormat="1" applyFont="1" applyBorder="1"/>
    <xf numFmtId="3" fontId="95" fillId="23" borderId="71" xfId="0" applyNumberFormat="1" applyFont="1" applyFill="1" applyBorder="1" applyAlignment="1">
      <alignment horizontal="center" vertical="center"/>
    </xf>
    <xf numFmtId="3" fontId="95" fillId="23" borderId="84" xfId="0" applyNumberFormat="1" applyFont="1" applyFill="1" applyBorder="1" applyAlignment="1">
      <alignment horizontal="center" vertical="center"/>
    </xf>
    <xf numFmtId="3" fontId="97" fillId="0" borderId="73" xfId="0" applyNumberFormat="1" applyFont="1" applyBorder="1"/>
    <xf numFmtId="3" fontId="97" fillId="32" borderId="74" xfId="0" applyNumberFormat="1" applyFont="1" applyFill="1" applyBorder="1" applyAlignment="1"/>
    <xf numFmtId="0" fontId="97" fillId="0" borderId="79" xfId="0" applyFont="1" applyBorder="1" applyAlignment="1"/>
    <xf numFmtId="0" fontId="67" fillId="15" borderId="65" xfId="0" applyFont="1" applyFill="1" applyBorder="1"/>
    <xf numFmtId="0" fontId="67" fillId="18" borderId="80" xfId="0" applyFont="1" applyFill="1" applyBorder="1"/>
    <xf numFmtId="49" fontId="13" fillId="15" borderId="69" xfId="0" applyNumberFormat="1" applyFont="1" applyFill="1" applyBorder="1"/>
    <xf numFmtId="0" fontId="31" fillId="15" borderId="78" xfId="0" applyFont="1" applyFill="1" applyBorder="1"/>
    <xf numFmtId="3" fontId="0" fillId="15" borderId="68" xfId="0" applyNumberFormat="1" applyFont="1" applyFill="1" applyBorder="1"/>
    <xf numFmtId="3" fontId="12" fillId="15" borderId="69" xfId="0" applyNumberFormat="1" applyFont="1" applyFill="1" applyBorder="1"/>
    <xf numFmtId="3" fontId="12" fillId="15" borderId="70" xfId="0" applyNumberFormat="1" applyFont="1" applyFill="1" applyBorder="1"/>
    <xf numFmtId="49" fontId="67" fillId="15" borderId="74" xfId="0" applyNumberFormat="1" applyFont="1" applyFill="1" applyBorder="1"/>
    <xf numFmtId="0" fontId="31" fillId="15" borderId="79" xfId="0" applyFont="1" applyFill="1" applyBorder="1"/>
    <xf numFmtId="3" fontId="12" fillId="15" borderId="74" xfId="0" applyNumberFormat="1" applyFont="1" applyFill="1" applyBorder="1"/>
    <xf numFmtId="3" fontId="12" fillId="15" borderId="75" xfId="0" applyNumberFormat="1" applyFont="1" applyFill="1" applyBorder="1"/>
    <xf numFmtId="49" fontId="67" fillId="0" borderId="43" xfId="0" applyNumberFormat="1" applyFont="1" applyBorder="1" applyAlignment="1">
      <alignment horizontal="center"/>
    </xf>
    <xf numFmtId="49" fontId="0" fillId="0" borderId="43" xfId="0" applyNumberFormat="1" applyFont="1" applyBorder="1" applyAlignment="1">
      <alignment horizontal="center"/>
    </xf>
    <xf numFmtId="0" fontId="67" fillId="0" borderId="1" xfId="0" applyFont="1" applyBorder="1"/>
    <xf numFmtId="49" fontId="13" fillId="33" borderId="106" xfId="0" applyNumberFormat="1" applyFont="1" applyFill="1" applyBorder="1" applyAlignment="1">
      <alignment horizontal="left"/>
    </xf>
    <xf numFmtId="49" fontId="13" fillId="33" borderId="116" xfId="0" applyNumberFormat="1" applyFont="1" applyFill="1" applyBorder="1" applyAlignment="1">
      <alignment horizontal="left"/>
    </xf>
    <xf numFmtId="3" fontId="59" fillId="33" borderId="106" xfId="0" applyNumberFormat="1" applyFont="1" applyFill="1" applyBorder="1"/>
    <xf numFmtId="3" fontId="59" fillId="33" borderId="116" xfId="0" applyNumberFormat="1" applyFont="1" applyFill="1" applyBorder="1"/>
    <xf numFmtId="3" fontId="59" fillId="33" borderId="117" xfId="0" applyNumberFormat="1" applyFont="1" applyFill="1" applyBorder="1"/>
    <xf numFmtId="49" fontId="13" fillId="33" borderId="118" xfId="0" applyNumberFormat="1" applyFont="1" applyFill="1" applyBorder="1" applyAlignment="1">
      <alignment horizontal="left"/>
    </xf>
    <xf numFmtId="49" fontId="13" fillId="33" borderId="43" xfId="0" applyNumberFormat="1" applyFont="1" applyFill="1" applyBorder="1" applyAlignment="1">
      <alignment horizontal="left"/>
    </xf>
    <xf numFmtId="3" fontId="59" fillId="33" borderId="118" xfId="0" applyNumberFormat="1" applyFont="1" applyFill="1" applyBorder="1"/>
    <xf numFmtId="3" fontId="59" fillId="33" borderId="43" xfId="0" applyNumberFormat="1" applyFont="1" applyFill="1" applyBorder="1"/>
    <xf numFmtId="3" fontId="59" fillId="33" borderId="119" xfId="0" applyNumberFormat="1" applyFont="1" applyFill="1" applyBorder="1"/>
    <xf numFmtId="3" fontId="76" fillId="33" borderId="120" xfId="0" applyNumberFormat="1" applyFont="1" applyFill="1" applyBorder="1"/>
    <xf numFmtId="3" fontId="76" fillId="33" borderId="121" xfId="0" applyNumberFormat="1" applyFont="1" applyFill="1" applyBorder="1"/>
    <xf numFmtId="3" fontId="76" fillId="33" borderId="122" xfId="0" applyNumberFormat="1" applyFont="1" applyFill="1" applyBorder="1"/>
    <xf numFmtId="3" fontId="59" fillId="0" borderId="73" xfId="0" applyNumberFormat="1" applyFont="1" applyBorder="1"/>
    <xf numFmtId="49" fontId="6" fillId="0" borderId="0" xfId="0" applyNumberFormat="1" applyFont="1" applyAlignment="1">
      <alignment horizontal="center"/>
    </xf>
    <xf numFmtId="0" fontId="0" fillId="0" borderId="0" xfId="0" applyFont="1" applyAlignme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9" fontId="12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69" fillId="20" borderId="0" xfId="0" applyFont="1" applyFill="1" applyAlignment="1">
      <alignment horizontal="center" vertical="center"/>
    </xf>
    <xf numFmtId="0" fontId="27" fillId="0" borderId="43" xfId="0" applyFont="1" applyBorder="1" applyAlignment="1">
      <alignment horizontal="center"/>
    </xf>
    <xf numFmtId="0" fontId="0" fillId="0" borderId="43" xfId="0" applyFont="1" applyBorder="1" applyAlignment="1"/>
    <xf numFmtId="0" fontId="15" fillId="0" borderId="43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165" fontId="41" fillId="0" borderId="43" xfId="0" applyNumberFormat="1" applyFont="1" applyBorder="1" applyAlignment="1">
      <alignment horizontal="center" vertical="center"/>
    </xf>
    <xf numFmtId="0" fontId="41" fillId="0" borderId="43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3" xfId="0" applyFont="1" applyBorder="1" applyAlignment="1">
      <alignment horizontal="center" vertical="center" wrapText="1"/>
    </xf>
    <xf numFmtId="49" fontId="20" fillId="0" borderId="43" xfId="0" applyNumberFormat="1" applyFont="1" applyBorder="1" applyAlignment="1">
      <alignment horizontal="center" vertical="center" wrapText="1"/>
    </xf>
    <xf numFmtId="0" fontId="15" fillId="0" borderId="43" xfId="0" applyFont="1" applyBorder="1" applyAlignment="1">
      <alignment horizontal="center" vertical="center" wrapText="1"/>
    </xf>
    <xf numFmtId="164" fontId="1" fillId="0" borderId="43" xfId="0" applyNumberFormat="1" applyFont="1" applyBorder="1" applyAlignment="1">
      <alignment horizontal="center"/>
    </xf>
    <xf numFmtId="0" fontId="24" fillId="0" borderId="43" xfId="0" applyFont="1" applyBorder="1" applyAlignment="1">
      <alignment horizontal="center" vertical="center" wrapText="1"/>
    </xf>
    <xf numFmtId="165" fontId="87" fillId="0" borderId="43" xfId="0" applyNumberFormat="1" applyFont="1" applyFill="1" applyBorder="1" applyAlignment="1">
      <alignment horizontal="center" vertical="center"/>
    </xf>
    <xf numFmtId="3" fontId="12" fillId="0" borderId="106" xfId="0" applyNumberFormat="1" applyFont="1" applyBorder="1" applyAlignment="1">
      <alignment horizontal="center" vertical="center" wrapText="1"/>
    </xf>
    <xf numFmtId="3" fontId="12" fillId="0" borderId="118" xfId="0" applyNumberFormat="1" applyFont="1" applyBorder="1" applyAlignment="1">
      <alignment horizontal="center" vertical="center" wrapText="1"/>
    </xf>
    <xf numFmtId="3" fontId="12" fillId="0" borderId="120" xfId="0" applyNumberFormat="1" applyFont="1" applyBorder="1" applyAlignment="1">
      <alignment horizontal="center" vertical="center" wrapText="1"/>
    </xf>
    <xf numFmtId="3" fontId="80" fillId="28" borderId="65" xfId="0" applyNumberFormat="1" applyFont="1" applyFill="1" applyBorder="1" applyAlignment="1">
      <alignment horizontal="center" vertical="center"/>
    </xf>
    <xf numFmtId="0" fontId="12" fillId="13" borderId="65" xfId="0" applyFont="1" applyFill="1" applyBorder="1" applyAlignment="1">
      <alignment horizontal="center" vertical="center"/>
    </xf>
    <xf numFmtId="0" fontId="4" fillId="0" borderId="65" xfId="0" applyFont="1" applyBorder="1"/>
    <xf numFmtId="0" fontId="12" fillId="0" borderId="65" xfId="0" applyFont="1" applyBorder="1" applyAlignment="1">
      <alignment horizontal="center" vertical="center"/>
    </xf>
    <xf numFmtId="3" fontId="81" fillId="0" borderId="65" xfId="0" applyNumberFormat="1" applyFont="1" applyBorder="1" applyAlignment="1">
      <alignment horizontal="center" vertical="center"/>
    </xf>
    <xf numFmtId="0" fontId="58" fillId="0" borderId="65" xfId="0" applyFont="1" applyBorder="1" applyAlignment="1">
      <alignment horizontal="center" vertical="center"/>
    </xf>
    <xf numFmtId="14" fontId="79" fillId="0" borderId="0" xfId="0" applyNumberFormat="1" applyFont="1" applyAlignment="1">
      <alignment horizontal="center" vertical="center"/>
    </xf>
    <xf numFmtId="0" fontId="82" fillId="0" borderId="65" xfId="0" applyFont="1" applyBorder="1" applyAlignment="1">
      <alignment horizontal="center" vertical="center"/>
    </xf>
    <xf numFmtId="3" fontId="80" fillId="29" borderId="65" xfId="0" applyNumberFormat="1" applyFont="1" applyFill="1" applyBorder="1" applyAlignment="1">
      <alignment horizontal="center" vertical="center"/>
    </xf>
    <xf numFmtId="3" fontId="80" fillId="31" borderId="65" xfId="0" applyNumberFormat="1" applyFont="1" applyFill="1" applyBorder="1" applyAlignment="1">
      <alignment horizontal="center" vertical="center"/>
    </xf>
    <xf numFmtId="3" fontId="58" fillId="0" borderId="0" xfId="0" applyNumberFormat="1" applyFont="1" applyAlignment="1">
      <alignment horizontal="center"/>
    </xf>
    <xf numFmtId="0" fontId="0" fillId="0" borderId="34" xfId="0" applyFont="1" applyBorder="1" applyAlignment="1">
      <alignment horizontal="center" vertical="center"/>
    </xf>
    <xf numFmtId="0" fontId="4" fillId="0" borderId="35" xfId="0" applyFont="1" applyBorder="1"/>
    <xf numFmtId="0" fontId="13" fillId="0" borderId="0" xfId="0" applyFont="1" applyAlignment="1">
      <alignment horizontal="right"/>
    </xf>
    <xf numFmtId="3" fontId="80" fillId="27" borderId="65" xfId="0" applyNumberFormat="1" applyFont="1" applyFill="1" applyBorder="1" applyAlignment="1">
      <alignment horizontal="center" vertical="center"/>
    </xf>
    <xf numFmtId="3" fontId="80" fillId="30" borderId="65" xfId="0" applyNumberFormat="1" applyFont="1" applyFill="1" applyBorder="1" applyAlignment="1">
      <alignment horizontal="center" vertical="center"/>
    </xf>
    <xf numFmtId="0" fontId="12" fillId="13" borderId="71" xfId="0" applyFont="1" applyFill="1" applyBorder="1" applyAlignment="1">
      <alignment horizontal="right" vertical="center"/>
    </xf>
    <xf numFmtId="0" fontId="4" fillId="0" borderId="71" xfId="0" applyFont="1" applyBorder="1"/>
    <xf numFmtId="0" fontId="12" fillId="0" borderId="71" xfId="0" applyFont="1" applyBorder="1" applyAlignment="1">
      <alignment horizontal="right" vertical="center"/>
    </xf>
    <xf numFmtId="0" fontId="12" fillId="13" borderId="68" xfId="0" applyFont="1" applyFill="1" applyBorder="1" applyAlignment="1">
      <alignment horizontal="right" vertical="center"/>
    </xf>
    <xf numFmtId="0" fontId="4" fillId="0" borderId="73" xfId="0" applyFont="1" applyBorder="1"/>
    <xf numFmtId="0" fontId="4" fillId="0" borderId="74" xfId="0" applyFont="1" applyBorder="1"/>
    <xf numFmtId="3" fontId="79" fillId="0" borderId="65" xfId="0" applyNumberFormat="1" applyFont="1" applyBorder="1" applyAlignment="1">
      <alignment horizontal="center" vertical="center"/>
    </xf>
    <xf numFmtId="0" fontId="12" fillId="13" borderId="69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4" fillId="0" borderId="26" xfId="0" applyFont="1" applyBorder="1"/>
    <xf numFmtId="0" fontId="4" fillId="0" borderId="23" xfId="0" applyFont="1" applyBorder="1"/>
    <xf numFmtId="3" fontId="12" fillId="0" borderId="62" xfId="0" applyNumberFormat="1" applyFont="1" applyBorder="1" applyAlignment="1">
      <alignment horizontal="center" vertical="center" wrapText="1"/>
    </xf>
    <xf numFmtId="3" fontId="12" fillId="0" borderId="123" xfId="0" applyNumberFormat="1" applyFont="1" applyBorder="1" applyAlignment="1">
      <alignment horizontal="center" vertical="center" wrapText="1"/>
    </xf>
    <xf numFmtId="3" fontId="21" fillId="33" borderId="107" xfId="0" applyNumberFormat="1" applyFont="1" applyFill="1" applyBorder="1" applyAlignment="1">
      <alignment horizontal="center" vertical="center" wrapText="1"/>
    </xf>
    <xf numFmtId="3" fontId="21" fillId="33" borderId="124" xfId="0" applyNumberFormat="1" applyFont="1" applyFill="1" applyBorder="1" applyAlignment="1">
      <alignment horizontal="center" vertical="center"/>
    </xf>
    <xf numFmtId="3" fontId="21" fillId="33" borderId="125" xfId="0" applyNumberFormat="1" applyFont="1" applyFill="1" applyBorder="1" applyAlignment="1">
      <alignment horizontal="center" vertical="center"/>
    </xf>
    <xf numFmtId="49" fontId="17" fillId="33" borderId="120" xfId="0" applyNumberFormat="1" applyFont="1" applyFill="1" applyBorder="1" applyAlignment="1">
      <alignment horizontal="left"/>
    </xf>
    <xf numFmtId="49" fontId="17" fillId="33" borderId="121" xfId="0" applyNumberFormat="1" applyFont="1" applyFill="1" applyBorder="1" applyAlignment="1">
      <alignment horizontal="left"/>
    </xf>
    <xf numFmtId="0" fontId="0" fillId="13" borderId="8" xfId="0" applyFont="1" applyFill="1" applyBorder="1" applyAlignment="1">
      <alignment horizontal="center" vertical="center"/>
    </xf>
    <xf numFmtId="0" fontId="0" fillId="15" borderId="68" xfId="0" applyFont="1" applyFill="1" applyBorder="1" applyAlignment="1">
      <alignment horizontal="center" vertical="center"/>
    </xf>
    <xf numFmtId="0" fontId="4" fillId="15" borderId="71" xfId="0" applyFont="1" applyFill="1" applyBorder="1"/>
    <xf numFmtId="0" fontId="4" fillId="15" borderId="73" xfId="0" applyFont="1" applyFill="1" applyBorder="1"/>
    <xf numFmtId="49" fontId="13" fillId="0" borderId="106" xfId="0" applyNumberFormat="1" applyFont="1" applyFill="1" applyBorder="1" applyAlignment="1">
      <alignment horizontal="left"/>
    </xf>
    <xf numFmtId="49" fontId="13" fillId="0" borderId="116" xfId="0" applyNumberFormat="1" applyFont="1" applyFill="1" applyBorder="1" applyAlignment="1">
      <alignment horizontal="left"/>
    </xf>
    <xf numFmtId="49" fontId="13" fillId="0" borderId="118" xfId="0" applyNumberFormat="1" applyFont="1" applyFill="1" applyBorder="1" applyAlignment="1">
      <alignment horizontal="left"/>
    </xf>
    <xf numFmtId="49" fontId="13" fillId="0" borderId="43" xfId="0" applyNumberFormat="1" applyFont="1" applyFill="1" applyBorder="1" applyAlignment="1">
      <alignment horizontal="left"/>
    </xf>
    <xf numFmtId="49" fontId="17" fillId="15" borderId="78" xfId="0" applyNumberFormat="1" applyFont="1" applyFill="1" applyBorder="1" applyAlignment="1">
      <alignment horizontal="center"/>
    </xf>
    <xf numFmtId="49" fontId="17" fillId="15" borderId="100" xfId="0" applyNumberFormat="1" applyFont="1" applyFill="1" applyBorder="1" applyAlignment="1">
      <alignment horizontal="center"/>
    </xf>
    <xf numFmtId="3" fontId="21" fillId="25" borderId="107" xfId="0" applyNumberFormat="1" applyFont="1" applyFill="1" applyBorder="1" applyAlignment="1">
      <alignment horizontal="center" vertical="center" wrapText="1"/>
    </xf>
    <xf numFmtId="3" fontId="21" fillId="25" borderId="124" xfId="0" applyNumberFormat="1" applyFont="1" applyFill="1" applyBorder="1" applyAlignment="1">
      <alignment horizontal="center" vertical="center"/>
    </xf>
    <xf numFmtId="3" fontId="21" fillId="25" borderId="125" xfId="0" applyNumberFormat="1" applyFont="1" applyFill="1" applyBorder="1" applyAlignment="1">
      <alignment horizontal="center" vertical="center"/>
    </xf>
    <xf numFmtId="49" fontId="17" fillId="19" borderId="120" xfId="0" applyNumberFormat="1" applyFont="1" applyFill="1" applyBorder="1" applyAlignment="1">
      <alignment horizontal="left"/>
    </xf>
    <xf numFmtId="49" fontId="17" fillId="19" borderId="121" xfId="0" applyNumberFormat="1" applyFont="1" applyFill="1" applyBorder="1" applyAlignment="1">
      <alignment horizontal="left"/>
    </xf>
    <xf numFmtId="49" fontId="67" fillId="0" borderId="114" xfId="0" applyNumberFormat="1" applyFont="1" applyBorder="1" applyAlignment="1">
      <alignment horizontal="center"/>
    </xf>
    <xf numFmtId="49" fontId="0" fillId="0" borderId="114" xfId="0" applyNumberFormat="1" applyFont="1" applyBorder="1" applyAlignment="1">
      <alignment horizontal="center"/>
    </xf>
    <xf numFmtId="49" fontId="17" fillId="20" borderId="68" xfId="0" applyNumberFormat="1" applyFont="1" applyFill="1" applyBorder="1" applyAlignment="1">
      <alignment horizontal="center"/>
    </xf>
    <xf numFmtId="49" fontId="17" fillId="20" borderId="69" xfId="0" applyNumberFormat="1" applyFont="1" applyFill="1" applyBorder="1" applyAlignment="1">
      <alignment horizontal="center"/>
    </xf>
    <xf numFmtId="0" fontId="13" fillId="0" borderId="71" xfId="0" applyFont="1" applyBorder="1" applyAlignment="1">
      <alignment horizontal="left"/>
    </xf>
    <xf numFmtId="0" fontId="13" fillId="0" borderId="65" xfId="0" applyFont="1" applyBorder="1" applyAlignment="1">
      <alignment horizontal="left"/>
    </xf>
    <xf numFmtId="49" fontId="13" fillId="0" borderId="99" xfId="0" applyNumberFormat="1" applyFont="1" applyFill="1" applyBorder="1" applyAlignment="1">
      <alignment horizontal="left"/>
    </xf>
    <xf numFmtId="49" fontId="13" fillId="0" borderId="101" xfId="0" applyNumberFormat="1" applyFont="1" applyFill="1" applyBorder="1" applyAlignment="1">
      <alignment horizontal="left"/>
    </xf>
    <xf numFmtId="3" fontId="0" fillId="15" borderId="71" xfId="0" applyNumberFormat="1" applyFont="1" applyFill="1" applyBorder="1" applyAlignment="1">
      <alignment horizontal="center"/>
    </xf>
    <xf numFmtId="0" fontId="0" fillId="15" borderId="71" xfId="0" applyFont="1" applyFill="1" applyBorder="1" applyAlignment="1"/>
    <xf numFmtId="0" fontId="58" fillId="0" borderId="0" xfId="0" applyFont="1" applyAlignment="1">
      <alignment horizontal="center"/>
    </xf>
    <xf numFmtId="3" fontId="59" fillId="0" borderId="77" xfId="0" applyNumberFormat="1" applyFont="1" applyBorder="1" applyAlignment="1">
      <alignment horizontal="center"/>
    </xf>
    <xf numFmtId="3" fontId="59" fillId="0" borderId="113" xfId="0" applyNumberFormat="1" applyFont="1" applyBorder="1" applyAlignment="1">
      <alignment horizontal="center"/>
    </xf>
    <xf numFmtId="3" fontId="59" fillId="0" borderId="80" xfId="0" applyNumberFormat="1" applyFont="1" applyBorder="1" applyAlignment="1">
      <alignment horizontal="center"/>
    </xf>
    <xf numFmtId="49" fontId="13" fillId="0" borderId="71" xfId="0" applyNumberFormat="1" applyFont="1" applyFill="1" applyBorder="1" applyAlignment="1">
      <alignment horizontal="left"/>
    </xf>
    <xf numFmtId="49" fontId="13" fillId="0" borderId="65" xfId="0" applyNumberFormat="1" applyFont="1" applyFill="1" applyBorder="1" applyAlignment="1">
      <alignment horizontal="left"/>
    </xf>
    <xf numFmtId="49" fontId="13" fillId="0" borderId="73" xfId="0" applyNumberFormat="1" applyFont="1" applyFill="1" applyBorder="1" applyAlignment="1">
      <alignment horizontal="left"/>
    </xf>
    <xf numFmtId="49" fontId="13" fillId="0" borderId="74" xfId="0" applyNumberFormat="1" applyFont="1" applyFill="1" applyBorder="1" applyAlignment="1">
      <alignment horizontal="left"/>
    </xf>
    <xf numFmtId="49" fontId="13" fillId="0" borderId="120" xfId="0" applyNumberFormat="1" applyFont="1" applyFill="1" applyBorder="1" applyAlignment="1">
      <alignment horizontal="left"/>
    </xf>
    <xf numFmtId="49" fontId="13" fillId="0" borderId="121" xfId="0" applyNumberFormat="1" applyFont="1" applyFill="1" applyBorder="1" applyAlignment="1">
      <alignment horizontal="left"/>
    </xf>
    <xf numFmtId="0" fontId="0" fillId="0" borderId="26" xfId="0" applyFont="1" applyBorder="1" applyAlignment="1">
      <alignment horizontal="center" vertical="center"/>
    </xf>
    <xf numFmtId="0" fontId="4" fillId="0" borderId="30" xfId="0" applyFont="1" applyBorder="1"/>
    <xf numFmtId="0" fontId="4" fillId="15" borderId="84" xfId="0" applyFont="1" applyFill="1" applyBorder="1"/>
    <xf numFmtId="3" fontId="31" fillId="19" borderId="71" xfId="0" applyNumberFormat="1" applyFont="1" applyFill="1" applyBorder="1" applyAlignment="1">
      <alignment horizontal="center" vertical="center"/>
    </xf>
    <xf numFmtId="0" fontId="31" fillId="19" borderId="71" xfId="0" applyFont="1" applyFill="1" applyBorder="1" applyAlignment="1">
      <alignment vertical="center"/>
    </xf>
    <xf numFmtId="0" fontId="31" fillId="19" borderId="73" xfId="0" applyFont="1" applyFill="1" applyBorder="1" applyAlignment="1">
      <alignment vertical="center"/>
    </xf>
    <xf numFmtId="0" fontId="0" fillId="18" borderId="68" xfId="0" applyFont="1" applyFill="1" applyBorder="1" applyAlignment="1">
      <alignment horizontal="center" vertical="center"/>
    </xf>
    <xf numFmtId="0" fontId="4" fillId="19" borderId="71" xfId="0" applyFont="1" applyFill="1" applyBorder="1"/>
    <xf numFmtId="0" fontId="4" fillId="19" borderId="73" xfId="0" applyFont="1" applyFill="1" applyBorder="1"/>
    <xf numFmtId="0" fontId="0" fillId="15" borderId="67" xfId="0" applyFont="1" applyFill="1" applyBorder="1" applyAlignment="1">
      <alignment horizontal="center" vertical="center"/>
    </xf>
    <xf numFmtId="0" fontId="4" fillId="15" borderId="65" xfId="0" applyFont="1" applyFill="1" applyBorder="1"/>
    <xf numFmtId="0" fontId="4" fillId="15" borderId="66" xfId="0" applyFont="1" applyFill="1" applyBorder="1"/>
    <xf numFmtId="3" fontId="65" fillId="18" borderId="71" xfId="0" applyNumberFormat="1" applyFont="1" applyFill="1" applyBorder="1" applyAlignment="1">
      <alignment horizontal="center" vertical="center" wrapText="1"/>
    </xf>
    <xf numFmtId="0" fontId="65" fillId="19" borderId="71" xfId="0" applyFont="1" applyFill="1" applyBorder="1"/>
    <xf numFmtId="0" fontId="65" fillId="19" borderId="73" xfId="0" applyFont="1" applyFill="1" applyBorder="1"/>
    <xf numFmtId="3" fontId="0" fillId="18" borderId="71" xfId="0" applyNumberFormat="1" applyFont="1" applyFill="1" applyBorder="1" applyAlignment="1">
      <alignment horizontal="center"/>
    </xf>
    <xf numFmtId="49" fontId="13" fillId="15" borderId="80" xfId="0" applyNumberFormat="1" applyFont="1" applyFill="1" applyBorder="1" applyAlignment="1">
      <alignment horizontal="center"/>
    </xf>
    <xf numFmtId="49" fontId="13" fillId="15" borderId="110" xfId="0" applyNumberFormat="1" applyFont="1" applyFill="1" applyBorder="1" applyAlignment="1">
      <alignment horizontal="center"/>
    </xf>
    <xf numFmtId="3" fontId="65" fillId="15" borderId="71" xfId="0" applyNumberFormat="1" applyFont="1" applyFill="1" applyBorder="1" applyAlignment="1">
      <alignment horizontal="center" vertical="center" wrapText="1"/>
    </xf>
    <xf numFmtId="0" fontId="65" fillId="15" borderId="71" xfId="0" applyFont="1" applyFill="1" applyBorder="1" applyAlignment="1"/>
    <xf numFmtId="0" fontId="65" fillId="15" borderId="84" xfId="0" applyFont="1" applyFill="1" applyBorder="1"/>
    <xf numFmtId="3" fontId="0" fillId="17" borderId="71" xfId="0" applyNumberFormat="1" applyFont="1" applyFill="1" applyBorder="1" applyAlignment="1">
      <alignment horizontal="center"/>
    </xf>
    <xf numFmtId="0" fontId="0" fillId="17" borderId="67" xfId="0" applyFont="1" applyFill="1" applyBorder="1" applyAlignment="1">
      <alignment horizontal="center" vertical="center"/>
    </xf>
    <xf numFmtId="0" fontId="0" fillId="19" borderId="68" xfId="0" applyFont="1" applyFill="1" applyBorder="1" applyAlignment="1">
      <alignment horizontal="center" vertical="center"/>
    </xf>
    <xf numFmtId="0" fontId="0" fillId="15" borderId="65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9" fillId="14" borderId="2" xfId="0" applyFont="1" applyFill="1" applyBorder="1" applyAlignment="1">
      <alignment horizontal="center" vertical="center"/>
    </xf>
    <xf numFmtId="0" fontId="90" fillId="0" borderId="3" xfId="0" applyFont="1" applyBorder="1"/>
    <xf numFmtId="0" fontId="90" fillId="0" borderId="4" xfId="0" applyFont="1" applyBorder="1"/>
    <xf numFmtId="0" fontId="90" fillId="0" borderId="5" xfId="0" applyFont="1" applyBorder="1"/>
    <xf numFmtId="0" fontId="90" fillId="0" borderId="11" xfId="0" applyFont="1" applyBorder="1"/>
    <xf numFmtId="0" fontId="90" fillId="0" borderId="13" xfId="0" applyFont="1" applyBorder="1"/>
    <xf numFmtId="0" fontId="16" fillId="0" borderId="0" xfId="0" applyFont="1" applyAlignment="1">
      <alignment horizontal="center" vertical="center" wrapText="1"/>
    </xf>
    <xf numFmtId="164" fontId="60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62" fillId="0" borderId="0" xfId="0" applyFont="1" applyAlignment="1">
      <alignment horizontal="right"/>
    </xf>
    <xf numFmtId="3" fontId="24" fillId="0" borderId="0" xfId="0" applyNumberFormat="1" applyFont="1" applyAlignment="1">
      <alignment horizontal="center" vertical="center" wrapText="1"/>
    </xf>
    <xf numFmtId="3" fontId="0" fillId="0" borderId="0" xfId="0" applyNumberFormat="1" applyFont="1" applyAlignment="1"/>
    <xf numFmtId="3" fontId="16" fillId="0" borderId="0" xfId="0" applyNumberFormat="1" applyFont="1" applyAlignment="1">
      <alignment horizontal="center" vertical="center" wrapText="1"/>
    </xf>
    <xf numFmtId="3" fontId="62" fillId="0" borderId="0" xfId="0" applyNumberFormat="1" applyFont="1" applyAlignment="1">
      <alignment horizontal="right"/>
    </xf>
    <xf numFmtId="3" fontId="60" fillId="0" borderId="0" xfId="0" applyNumberFormat="1" applyFont="1" applyAlignment="1">
      <alignment horizontal="center"/>
    </xf>
    <xf numFmtId="0" fontId="98" fillId="34" borderId="0" xfId="0" applyFont="1" applyFill="1" applyAlignment="1"/>
  </cellXfs>
  <cellStyles count="5">
    <cellStyle name="Comma 2" xfId="2"/>
    <cellStyle name="Normal" xfId="0" builtinId="0"/>
    <cellStyle name="Normal 2" xfId="1"/>
    <cellStyle name="Normal 2 2" xfId="3"/>
    <cellStyle name="Normal 3" xf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O$5" inc="2" max="57" min="1" page="10" val="19"/>
</file>

<file path=xl/ctrlProps/ctrlProp2.xml><?xml version="1.0" encoding="utf-8"?>
<formControlPr xmlns="http://schemas.microsoft.com/office/spreadsheetml/2009/9/main" objectType="Spin" dx="22" fmlaLink="$N$1" inc="4" max="26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14</xdr:col>
          <xdr:colOff>7620</xdr:colOff>
          <xdr:row>3</xdr:row>
          <xdr:rowOff>213360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</xdr:col>
      <xdr:colOff>0</xdr:colOff>
      <xdr:row>11</xdr:row>
      <xdr:rowOff>0</xdr:rowOff>
    </xdr:from>
    <xdr:to>
      <xdr:col>16</xdr:col>
      <xdr:colOff>0</xdr:colOff>
      <xdr:row>12</xdr:row>
      <xdr:rowOff>38098</xdr:rowOff>
    </xdr:to>
    <xdr:sp macro="[0]!InKetQua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163735" y="941294"/>
          <a:ext cx="2229971" cy="262216"/>
        </a:xfrm>
        <a:prstGeom prst="rect">
          <a:avLst/>
        </a:prstGeom>
        <a:solidFill>
          <a:srgbClr val="66FFFF"/>
        </a:solidFill>
        <a:ln w="381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2</xdr:row>
          <xdr:rowOff>76200</xdr:rowOff>
        </xdr:from>
        <xdr:to>
          <xdr:col>12</xdr:col>
          <xdr:colOff>647700</xdr:colOff>
          <xdr:row>5</xdr:row>
          <xdr:rowOff>22860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namedSheetViews/namedSheetView.xml><?xml version="1.0" encoding="utf-8"?>
<xnsv:namedSheetViews xmlns:x="http://schemas.openxmlformats.org/spreadsheetml/2006/main" xmlns:xnsv="http://schemas.microsoft.com/office/spreadsheetml/2019/namedsheetviews">
  <xnsv:namedSheetView name="testview" id="{5835365C-BD6C-4621-8C68-94E994679225}"/>
</xnsv:namedSheetViews>
</file>

<file path=xl/namedSheetViews/namedSheetView2.xml><?xml version="1.0" encoding="utf-8"?>
<xnsv:namedSheetViews xmlns:x="http://schemas.openxmlformats.org/spreadsheetml/2006/main" xmlns:xnsv="http://schemas.microsoft.com/office/spreadsheetml/2019/namedsheetviews">
  <xnsv:namedSheetView name="testview" id="{E1B95AAE-94B8-4AAD-8A17-903C0AD58D17}"/>
</xnsv: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b65197c46de346c5" Type="http://schemas.microsoft.com/office/2019/04/relationships/namedSheetView" Target="../namedSheetViews/namedSheetView2.xml"/><Relationship Id="rId1" Type="http://schemas.openxmlformats.org/officeDocument/2006/relationships/printerSettings" Target="../printerSettings/printerSettings3.bin"/><Relationship Id="R0862e8b17d8f4256" Type="http://schemas.microsoft.com/office/2019/04/relationships/namedSheetView" Target="../namedSheetViews/namedSheetView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006"/>
  <sheetViews>
    <sheetView zoomScale="115" zoomScaleNormal="11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D16" sqref="D16"/>
    </sheetView>
  </sheetViews>
  <sheetFormatPr defaultColWidth="11.19921875" defaultRowHeight="15" customHeight="1"/>
  <cols>
    <col min="1" max="1" width="4.5" customWidth="1"/>
    <col min="2" max="2" width="5.19921875" customWidth="1"/>
    <col min="3" max="3" width="18.69921875" customWidth="1"/>
    <col min="4" max="4" width="5.3984375" customWidth="1"/>
    <col min="5" max="5" width="5.59765625" customWidth="1"/>
    <col min="6" max="6" width="37.69921875" customWidth="1"/>
    <col min="7" max="7" width="11.8984375" customWidth="1"/>
    <col min="8" max="8" width="8.8984375" customWidth="1"/>
    <col min="9" max="9" width="12.19921875" customWidth="1"/>
    <col min="10" max="10" width="8.8984375" customWidth="1"/>
    <col min="11" max="11" width="7.09765625" customWidth="1"/>
    <col min="12" max="12" width="3.19921875" customWidth="1"/>
    <col min="13" max="13" width="4.69921875" customWidth="1"/>
    <col min="14" max="14" width="5.5" customWidth="1"/>
    <col min="15" max="16" width="9" customWidth="1"/>
    <col min="17" max="17" width="4.5" customWidth="1"/>
    <col min="18" max="18" width="6" bestFit="1" customWidth="1"/>
    <col min="19" max="19" width="16.59765625" customWidth="1"/>
    <col min="20" max="20" width="8.8984375" bestFit="1" customWidth="1"/>
    <col min="21" max="21" width="19.8984375" customWidth="1"/>
    <col min="22" max="22" width="28.5" bestFit="1" customWidth="1"/>
    <col min="23" max="23" width="4.5" bestFit="1" customWidth="1"/>
    <col min="24" max="32" width="7.3984375" bestFit="1" customWidth="1"/>
    <col min="33" max="34" width="8.3984375" bestFit="1" customWidth="1"/>
    <col min="35" max="35" width="9" customWidth="1"/>
    <col min="36" max="36" width="14.19921875" customWidth="1"/>
    <col min="37" max="37" width="9" customWidth="1"/>
  </cols>
  <sheetData>
    <row r="1" spans="1:37" ht="16.5" customHeight="1">
      <c r="A1" s="897" t="s">
        <v>1</v>
      </c>
      <c r="B1" s="895"/>
      <c r="C1" s="895"/>
      <c r="D1" s="895"/>
      <c r="E1" s="895"/>
      <c r="F1" s="2"/>
      <c r="G1" s="894" t="s">
        <v>2</v>
      </c>
      <c r="H1" s="895"/>
      <c r="I1" s="895"/>
      <c r="J1" s="895"/>
      <c r="K1" s="895"/>
      <c r="L1" s="3"/>
      <c r="M1" s="6"/>
      <c r="N1" s="2"/>
      <c r="O1" s="2"/>
      <c r="P1" s="2"/>
      <c r="Q1" s="2"/>
      <c r="R1" s="2"/>
      <c r="S1" s="2" t="s">
        <v>4</v>
      </c>
      <c r="T1" s="2">
        <f>ROW(A10)</f>
        <v>10</v>
      </c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ht="16.5" customHeight="1">
      <c r="A2" s="896" t="s">
        <v>6</v>
      </c>
      <c r="B2" s="895"/>
      <c r="C2" s="895"/>
      <c r="D2" s="895"/>
      <c r="E2" s="895"/>
      <c r="F2" s="2"/>
      <c r="G2" s="894" t="s">
        <v>7</v>
      </c>
      <c r="H2" s="895"/>
      <c r="I2" s="895"/>
      <c r="J2" s="895"/>
      <c r="K2" s="895"/>
      <c r="L2" s="3"/>
      <c r="M2" s="6"/>
      <c r="N2" s="2"/>
      <c r="O2" s="2"/>
      <c r="P2" s="2"/>
      <c r="Q2" s="2"/>
      <c r="R2" s="2"/>
      <c r="S2" s="2" t="s">
        <v>8</v>
      </c>
      <c r="T2" s="2">
        <f ca="1">COUNTA(INDIRECT(ADDRESS(T1,1)&amp;":"&amp;ADDRESS(65536,1)))</f>
        <v>141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 ht="16.5" customHeight="1">
      <c r="A3" s="896" t="s">
        <v>9</v>
      </c>
      <c r="B3" s="895"/>
      <c r="C3" s="895"/>
      <c r="D3" s="895"/>
      <c r="E3" s="895"/>
      <c r="F3" s="2"/>
      <c r="G3" s="894" t="s">
        <v>10</v>
      </c>
      <c r="H3" s="895"/>
      <c r="I3" s="895"/>
      <c r="J3" s="895"/>
      <c r="K3" s="895"/>
      <c r="L3" s="3"/>
      <c r="M3" s="6"/>
      <c r="N3" s="2"/>
      <c r="O3" s="2"/>
      <c r="P3" s="2"/>
      <c r="Q3" s="2"/>
      <c r="R3" s="2"/>
      <c r="S3" s="2" t="s">
        <v>11</v>
      </c>
      <c r="T3" s="2">
        <f ca="1">T1+T2-1</f>
        <v>150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ht="16.5" customHeight="1">
      <c r="A4" s="899" t="s">
        <v>13</v>
      </c>
      <c r="B4" s="895"/>
      <c r="C4" s="895"/>
      <c r="D4" s="895"/>
      <c r="E4" s="895"/>
      <c r="F4" s="2"/>
      <c r="G4" s="12"/>
      <c r="H4" s="12"/>
      <c r="I4" s="13"/>
      <c r="J4" s="13"/>
      <c r="K4" s="15"/>
      <c r="L4" s="21" t="str">
        <f>IF($B4="","",JoinIf($B$10:$B$309,$B4,$C$10:$C$309,", "))</f>
        <v/>
      </c>
      <c r="M4" s="6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 ht="16.5" customHeight="1">
      <c r="A5" s="11"/>
      <c r="B5" s="11"/>
      <c r="C5" s="11"/>
      <c r="D5" s="4"/>
      <c r="E5" s="4"/>
      <c r="F5" s="2"/>
      <c r="G5" s="12"/>
      <c r="H5" s="898" t="s">
        <v>15</v>
      </c>
      <c r="I5" s="895"/>
      <c r="J5" s="895"/>
      <c r="K5" s="22" t="str">
        <f>SUMPRODUCT(1/COUNTIF(B10:B146,B10:B146))&amp;" phòng"</f>
        <v>30 phòng</v>
      </c>
      <c r="L5" s="6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ht="23.25" customHeight="1">
      <c r="A6" s="2"/>
      <c r="B6" s="11"/>
      <c r="C6" s="900" t="s">
        <v>17</v>
      </c>
      <c r="D6" s="895"/>
      <c r="E6" s="895"/>
      <c r="F6" s="895"/>
      <c r="G6" s="895"/>
      <c r="H6" s="898" t="s">
        <v>18</v>
      </c>
      <c r="I6" s="895"/>
      <c r="J6" s="895"/>
      <c r="K6" s="22" t="str">
        <f>COUNTA(A10:A507)&amp;" người"</f>
        <v>141 người</v>
      </c>
      <c r="L6" s="6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 ht="16.5" customHeight="1">
      <c r="A7" s="2"/>
      <c r="B7" s="11"/>
      <c r="C7" s="896" t="str">
        <f ca="1">"Tháng "&amp;MONTH(TODAY())&amp;" năm "&amp;YEAR(TODAY())</f>
        <v>Tháng 3 năm 2022</v>
      </c>
      <c r="D7" s="895"/>
      <c r="E7" s="895"/>
      <c r="F7" s="895"/>
      <c r="G7" s="895"/>
      <c r="H7" s="898" t="s">
        <v>20</v>
      </c>
      <c r="I7" s="895"/>
      <c r="J7" s="895"/>
      <c r="K7" s="22" t="str">
        <f>COUNTA(L10:L507)&amp;" người"</f>
        <v>106 người</v>
      </c>
      <c r="L7" s="6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</row>
    <row r="8" spans="1:37" ht="16.5" customHeight="1" thickBot="1">
      <c r="A8" s="2"/>
      <c r="B8" s="11"/>
      <c r="C8" s="2"/>
      <c r="D8" s="3"/>
      <c r="E8" s="3"/>
      <c r="F8" s="2"/>
      <c r="G8" s="12"/>
      <c r="H8" s="12"/>
      <c r="I8" s="13"/>
      <c r="J8" s="13"/>
      <c r="K8" s="15"/>
      <c r="L8" s="3"/>
      <c r="M8" s="6"/>
      <c r="N8" s="2"/>
      <c r="O8" s="2"/>
      <c r="P8" s="2"/>
      <c r="Q8" s="2"/>
      <c r="R8" s="2"/>
      <c r="S8" s="2"/>
      <c r="T8" s="2"/>
      <c r="U8" s="2"/>
      <c r="V8" s="2"/>
      <c r="W8" s="2">
        <f>SUM(W10:W50)</f>
        <v>106</v>
      </c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 ht="27" customHeight="1" thickBot="1">
      <c r="A9" s="24" t="s">
        <v>3</v>
      </c>
      <c r="B9" s="383" t="s">
        <v>21</v>
      </c>
      <c r="C9" s="26" t="s">
        <v>22</v>
      </c>
      <c r="D9" s="28" t="s">
        <v>23</v>
      </c>
      <c r="E9" s="28" t="s">
        <v>25</v>
      </c>
      <c r="F9" s="26" t="s">
        <v>26</v>
      </c>
      <c r="G9" s="28" t="s">
        <v>27</v>
      </c>
      <c r="H9" s="28" t="s">
        <v>28</v>
      </c>
      <c r="I9" s="28" t="s">
        <v>29</v>
      </c>
      <c r="J9" s="28" t="s">
        <v>30</v>
      </c>
      <c r="K9" s="402" t="s">
        <v>31</v>
      </c>
      <c r="L9" s="28" t="s">
        <v>32</v>
      </c>
      <c r="M9" s="403" t="s">
        <v>33</v>
      </c>
      <c r="N9" s="30" t="s">
        <v>35</v>
      </c>
      <c r="O9" s="32" t="s">
        <v>36</v>
      </c>
      <c r="P9" s="170" t="s">
        <v>37</v>
      </c>
      <c r="Q9" s="30" t="s">
        <v>3</v>
      </c>
      <c r="R9" s="30" t="s">
        <v>21</v>
      </c>
      <c r="S9" s="34" t="s">
        <v>38</v>
      </c>
      <c r="T9" s="30" t="s">
        <v>37</v>
      </c>
      <c r="U9" s="30" t="s">
        <v>39</v>
      </c>
      <c r="V9" s="30" t="s">
        <v>40</v>
      </c>
      <c r="W9" s="30" t="s">
        <v>41</v>
      </c>
      <c r="X9" s="30" t="s">
        <v>42</v>
      </c>
      <c r="Y9" s="30" t="s">
        <v>43</v>
      </c>
      <c r="Z9" s="30" t="s">
        <v>44</v>
      </c>
      <c r="AA9" s="30" t="s">
        <v>45</v>
      </c>
      <c r="AB9" s="30" t="s">
        <v>46</v>
      </c>
      <c r="AC9" s="30" t="s">
        <v>47</v>
      </c>
      <c r="AD9" s="30" t="s">
        <v>48</v>
      </c>
      <c r="AE9" s="30" t="s">
        <v>49</v>
      </c>
      <c r="AF9" s="30" t="s">
        <v>50</v>
      </c>
      <c r="AG9" s="30" t="s">
        <v>51</v>
      </c>
      <c r="AH9" s="35" t="s">
        <v>52</v>
      </c>
      <c r="AI9" s="36" t="s">
        <v>21</v>
      </c>
      <c r="AJ9" s="30" t="s">
        <v>38</v>
      </c>
      <c r="AK9" s="30" t="s">
        <v>53</v>
      </c>
    </row>
    <row r="10" spans="1:37" ht="27" customHeight="1" thickBot="1">
      <c r="A10" s="37">
        <v>1</v>
      </c>
      <c r="B10" s="384" t="s">
        <v>55</v>
      </c>
      <c r="C10" s="39" t="s">
        <v>57</v>
      </c>
      <c r="D10" s="40">
        <v>1982</v>
      </c>
      <c r="E10" s="40"/>
      <c r="F10" s="39" t="s">
        <v>58</v>
      </c>
      <c r="G10" s="40" t="s">
        <v>59</v>
      </c>
      <c r="H10" s="40" t="s">
        <v>60</v>
      </c>
      <c r="I10" s="404" t="s">
        <v>61</v>
      </c>
      <c r="J10" s="40" t="s">
        <v>62</v>
      </c>
      <c r="K10" s="405" t="s">
        <v>63</v>
      </c>
      <c r="L10" s="406" t="s">
        <v>64</v>
      </c>
      <c r="M10" s="407"/>
      <c r="N10" s="21" t="s">
        <v>65</v>
      </c>
      <c r="O10" s="43" t="str">
        <f t="shared" ref="O10:O150" si="0">TRIM(RIGHT(SUBSTITUTE(C10," ",REPT(" ",255)),255))</f>
        <v>Cường</v>
      </c>
      <c r="P10" s="171" t="str">
        <f t="shared" ref="P10:P150" si="1">IF(L10="x",O10,"")</f>
        <v>Cường</v>
      </c>
      <c r="Q10" s="172">
        <v>1</v>
      </c>
      <c r="R10" s="8" t="s">
        <v>55</v>
      </c>
      <c r="S10" s="46" t="str">
        <f t="shared" ref="S10:T10" si="2">V10</f>
        <v>Cường, Tươi, Trân</v>
      </c>
      <c r="T10" s="21">
        <f t="shared" si="2"/>
        <v>3</v>
      </c>
      <c r="U10" s="21" t="str">
        <f t="shared" ref="U10:U40" si="3">TEXT(S10,0)</f>
        <v>Cường, Tươi, Trân</v>
      </c>
      <c r="V10" s="49" t="str">
        <f>CONCATENATE(X10,IF(Y10&lt;&gt;"",", ",""),Y10,IF(Z10&lt;&gt;"",", ",""),Z10,IF(AA10&lt;&gt;"",", ",""),AA10,IF(AB10&lt;&gt;"",", ",""),AB10,IF(AC10&lt;&gt;"",", ",""),AC10,IF(AD10&lt;&gt;"",", ",""),AD10,IF(AE10&lt;&gt;"",", ",""),AE10,IF(AF10&lt;&gt;"",", ",""),AF10,IF(AG10&lt;&gt;"",", ",""),AG10,IF(AH10&lt;&gt;"",", ",""),AH10)</f>
        <v>Cường, Tươi, Trân</v>
      </c>
      <c r="W10" s="21">
        <f t="shared" ref="W10:W40" si="4">SUMPRODUCT(($B$10:$B$306=R10)*($L$10:$L$306="x"))</f>
        <v>3</v>
      </c>
      <c r="X10" s="21" t="str">
        <f>IFERROR(INDEX($P$10:$P$306,SMALL(IF(($B$10:$B$306=$R10)*($L$10:$L$147="x"),ROW($P$10:$P$306)-9,""),IF(COLUMN()-23&lt;=$W10,COLUMN()-23,0))),"")</f>
        <v>Cường</v>
      </c>
      <c r="Y10" s="21" t="str">
        <f t="array" ref="Y10">IFERROR(INDEX($P$10:$P$306,SMALL(IF(($B$10:$B$306=$R10)*($L$10:$L$306="x"),ROW($P$10:$P$306)-9,""),IF(COLUMN()-23&lt;=$W10,COLUMN()-23,0))),"")</f>
        <v>Tươi</v>
      </c>
      <c r="Z10" s="21" t="str">
        <f t="array" ref="Z10">IFERROR(INDEX($P$10:$P$306,SMALL(IF(($B$10:$B$306=$R10)*($L$10:$L$306="x"),ROW($P$10:$P$306)-9,""),IF(COLUMN()-23&lt;=$W10,COLUMN()-23,0))),"")</f>
        <v>Trân</v>
      </c>
      <c r="AA10" s="21" t="str">
        <f t="array" ref="AA10">IFERROR(INDEX($P$10:$P$306,SMALL(IF(($B$10:$B$306=$R10)*($L$10:$L$306="x"),ROW($P$10:$P$306)-9,""),IF(COLUMN()-23&lt;=$W10,COLUMN()-23,0))),"")</f>
        <v/>
      </c>
      <c r="AB10" s="21" t="str">
        <f t="array" ref="AB10">IFERROR(INDEX($P$10:$P$306,SMALL(IF(($B$10:$B$306=$R10)*($L$10:$L$306="x"),ROW($P$10:$P$306)-9,""),IF(COLUMN()-23&lt;=$W10,COLUMN()-23,0))),"")</f>
        <v/>
      </c>
      <c r="AC10" s="21" t="str">
        <f t="array" ref="AC10">IFERROR(INDEX($P$10:$P$306,SMALL(IF(($B$10:$B$306=$R10)*($L$10:$L$306="x"),ROW($P$10:$P$306)-9,""),IF(COLUMN()-23&lt;=$W10,COLUMN()-23,0))),"")</f>
        <v/>
      </c>
      <c r="AD10" s="21" t="str">
        <f t="array" ref="AD10">IFERROR(INDEX($P$10:$P$306,SMALL(IF(($B$10:$B$306=$R10)*($L$10:$L$306="x"),ROW($P$10:$P$306)-9,""),IF(COLUMN()-23&lt;=$W10,COLUMN()-23,0))),"")</f>
        <v/>
      </c>
      <c r="AE10" s="21" t="str">
        <f t="array" ref="AE10">IFERROR(INDEX($P$10:$P$306,SMALL(IF(($B$10:$B$306=$R10)*($L$10:$L$306="x"),ROW($P$10:$P$306)-9,""),IF(COLUMN()-23&lt;=$W10,COLUMN()-23,0))),"")</f>
        <v/>
      </c>
      <c r="AF10" s="21" t="str">
        <f t="array" ref="AF10">IFERROR(INDEX($P$10:$P$306,SMALL(IF(($B$10:$B$306=$R10)*($L$10:$L$306="x"),ROW($P$10:$P$306)-9,""),IF(COLUMN()-23&lt;=$W10,COLUMN()-23,0))),"")</f>
        <v/>
      </c>
      <c r="AG10" s="21" t="str">
        <f t="array" ref="AG10">IFERROR(INDEX($P$10:$P$306,SMALL(IF(($B$10:$B$306=$R10)*($L$10:$L$306="x"),ROW($P$10:$P$306)-9,""),IF(COLUMN()-23&lt;=$W10,COLUMN()-23,0))),"")</f>
        <v/>
      </c>
      <c r="AH10" s="84" t="str">
        <f t="array" ref="AH10">IFERROR(INDEX($P$10:$P$306,SMALL(IF(($B$10:$B$306=$R10)*($L$10:$L$306="x"),ROW($P$10:$P$306)-9,""),IF(COLUMN()-23&lt;=$W10,COLUMN()-23,0))),"")</f>
        <v/>
      </c>
      <c r="AI10" s="44" t="str">
        <f ca="1">IFERROR(__xludf.DUMMYFUNCTION("ARRAY_CONSTRAIN(ARRAYFORMULA(unique(B10:B140)), 1, 1)"),"A1")</f>
        <v>A1</v>
      </c>
      <c r="AJ10" s="21" t="str">
        <f t="shared" ref="AJ10:AJ40" ca="1" si="5">IFERROR(__xludf.DUMMYFUNCTION("textjoin("","",TRUE,FILTER($O$10:$O$140,($AI10=$B$10:$B$140),($L$10:$L$140)=""x""))"),"Cường,Tươi,Trân")</f>
        <v>Cường,Tươi,Trân</v>
      </c>
      <c r="AK10" s="21">
        <f t="shared" ref="AK10:AK40" ca="1" si="6">COUNTIFS($B$10:$B$146,$AI10,$L$10:$L$146,"x")</f>
        <v>3</v>
      </c>
    </row>
    <row r="11" spans="1:37" ht="27" customHeight="1" thickTop="1">
      <c r="A11" s="37">
        <v>2</v>
      </c>
      <c r="B11" s="385" t="s">
        <v>55</v>
      </c>
      <c r="C11" s="85" t="s">
        <v>111</v>
      </c>
      <c r="D11" s="86"/>
      <c r="E11" s="86">
        <v>1987</v>
      </c>
      <c r="F11" s="85" t="s">
        <v>112</v>
      </c>
      <c r="G11" s="86" t="s">
        <v>113</v>
      </c>
      <c r="H11" s="86"/>
      <c r="I11" s="408" t="s">
        <v>842</v>
      </c>
      <c r="J11" s="86" t="s">
        <v>62</v>
      </c>
      <c r="K11" s="409" t="s">
        <v>114</v>
      </c>
      <c r="L11" s="410" t="s">
        <v>127</v>
      </c>
      <c r="M11" s="411"/>
      <c r="N11" s="21" t="s">
        <v>65</v>
      </c>
      <c r="O11" s="43" t="str">
        <f t="shared" si="0"/>
        <v>Tươi</v>
      </c>
      <c r="P11" s="171" t="str">
        <f t="shared" si="1"/>
        <v>Tươi</v>
      </c>
      <c r="Q11" s="44">
        <v>2</v>
      </c>
      <c r="R11" s="8" t="s">
        <v>129</v>
      </c>
      <c r="S11" s="46" t="str">
        <f t="shared" ref="S11:T11" si="7">V11</f>
        <v>Phong, Trang, Tuyền</v>
      </c>
      <c r="T11" s="21">
        <f t="shared" si="7"/>
        <v>3</v>
      </c>
      <c r="U11" s="21" t="str">
        <f t="shared" si="3"/>
        <v>Phong, Trang, Tuyền</v>
      </c>
      <c r="V11" s="49" t="str">
        <f t="shared" ref="V11:V74" si="8">CONCATENATE(X11,IF(Y11&lt;&gt;"",", ",""),Y11,IF(Z11&lt;&gt;"",", ",""),Z11,IF(AA11&lt;&gt;"",", ",""),AA11,IF(AB11&lt;&gt;"",", ",""),AB11,IF(AC11&lt;&gt;"",", ",""),AC11,IF(AD11&lt;&gt;"",", ",""),AD11,IF(AE11&lt;&gt;"",", ",""),AE11,IF(AF11&lt;&gt;"",", ",""),AF11,IF(AG11&lt;&gt;"",", ",""),AG11,IF(AH11&lt;&gt;"",", ",""),AH11)</f>
        <v>Phong, Trang, Tuyền</v>
      </c>
      <c r="W11" s="21">
        <f t="shared" si="4"/>
        <v>3</v>
      </c>
      <c r="X11" s="21" t="str">
        <f t="array" ref="X11">IFERROR(INDEX($P$10:$P$306,SMALL(IF(($B$10:$B$306=$R11)*($L$10:$L$306="x"),ROW($P$10:$P$306)-9,""),IF(COLUMN()-23&lt;=$W11,COLUMN()-23,0))),"")</f>
        <v>Phong</v>
      </c>
      <c r="Y11" s="21" t="str">
        <f t="array" ref="Y11">IFERROR(INDEX($P$10:$P$306,SMALL(IF(($B$10:$B$306=$R11)*($L$10:$L$306="x"),ROW($P$10:$P$306)-9,""),IF(COLUMN()-23&lt;=$W11,COLUMN()-23,0))),"")</f>
        <v>Trang</v>
      </c>
      <c r="Z11" s="21" t="str">
        <f t="array" ref="Z11">IFERROR(INDEX($P$10:$P$306,SMALL(IF(($B$10:$B$306=$R11)*($L$10:$L$306="x"),ROW($P$10:$P$306)-9,""),IF(COLUMN()-23&lt;=$W11,COLUMN()-23,0))),"")</f>
        <v>Tuyền</v>
      </c>
      <c r="AA11" s="21" t="str">
        <f t="array" ref="AA11">IFERROR(INDEX($P$10:$P$306,SMALL(IF(($B$10:$B$306=$R11)*($L$10:$L$306="x"),ROW($P$10:$P$306)-9,""),IF(COLUMN()-23&lt;=$W11,COLUMN()-23,0))),"")</f>
        <v/>
      </c>
      <c r="AB11" s="21" t="str">
        <f t="array" ref="AB11">IFERROR(INDEX($P$10:$P$306,SMALL(IF(($B$10:$B$306=$R11)*($L$10:$L$306="x"),ROW($P$10:$P$306)-9,""),IF(COLUMN()-23&lt;=$W11,COLUMN()-23,0))),"")</f>
        <v/>
      </c>
      <c r="AC11" s="21" t="str">
        <f t="array" ref="AC11">IFERROR(INDEX($P$10:$P$306,SMALL(IF(($B$10:$B$306=$R11)*($L$10:$L$306="x"),ROW($P$10:$P$306)-9,""),IF(COLUMN()-23&lt;=$W11,COLUMN()-23,0))),"")</f>
        <v/>
      </c>
      <c r="AD11" s="21" t="str">
        <f t="array" ref="AD11">IFERROR(INDEX($P$10:$P$306,SMALL(IF(($B$10:$B$306=$R11)*($L$10:$L$306="x"),ROW($P$10:$P$306)-9,""),IF(COLUMN()-23&lt;=$W11,COLUMN()-23,0))),"")</f>
        <v/>
      </c>
      <c r="AE11" s="21" t="str">
        <f t="array" ref="AE11">IFERROR(INDEX($P$10:$P$306,SMALL(IF(($B$10:$B$306=$R11)*($L$10:$L$306="x"),ROW($P$10:$P$306)-9,""),IF(COLUMN()-23&lt;=$W11,COLUMN()-23,0))),"")</f>
        <v/>
      </c>
      <c r="AF11" s="21" t="str">
        <f t="array" ref="AF11">IFERROR(INDEX($P$10:$P$306,SMALL(IF(($B$10:$B$306=$R11)*($L$10:$L$306="x"),ROW($P$10:$P$306)-9,""),IF(COLUMN()-23&lt;=$W11,COLUMN()-23,0))),"")</f>
        <v/>
      </c>
      <c r="AG11" s="21" t="str">
        <f t="array" ref="AG11">IFERROR(INDEX($P$10:$P$306,SMALL(IF(($B$10:$B$306=$R11)*($L$10:$L$306="x"),ROW($P$10:$P$306)-9,""),IF(COLUMN()-23&lt;=$W11,COLUMN()-23,0))),"")</f>
        <v/>
      </c>
      <c r="AH11" s="84" t="str">
        <f t="array" ref="AH11">IFERROR(INDEX($P$10:$P$306,SMALL(IF(($B$10:$B$306=$R11)*($L$10:$L$306="x"),ROW($P$10:$P$306)-9,""),IF(COLUMN()-23&lt;=$W11,COLUMN()-23,0))),"")</f>
        <v/>
      </c>
      <c r="AI11" s="8" t="s">
        <v>129</v>
      </c>
      <c r="AJ11" s="21" t="str">
        <f ca="1">IFERROR(__xludf.DUMMYFUNCTION("textjoin("","",TRUE,FILTER($O$10:$O$140,($AI10=$B$10:$B$140),($L$10:$L$140)=""x""))"),"Cường,Tươi,Trân")</f>
        <v>Cường,Tươi,Trân</v>
      </c>
      <c r="AK11" s="21">
        <f t="shared" si="6"/>
        <v>3</v>
      </c>
    </row>
    <row r="12" spans="1:37" ht="27" customHeight="1" thickBot="1">
      <c r="A12" s="37">
        <v>3</v>
      </c>
      <c r="B12" s="386" t="s">
        <v>55</v>
      </c>
      <c r="C12" s="99" t="s">
        <v>143</v>
      </c>
      <c r="D12" s="100"/>
      <c r="E12" s="100">
        <v>2006</v>
      </c>
      <c r="F12" s="99" t="s">
        <v>112</v>
      </c>
      <c r="G12" s="100" t="s">
        <v>144</v>
      </c>
      <c r="H12" s="100"/>
      <c r="I12" s="412"/>
      <c r="J12" s="100" t="s">
        <v>62</v>
      </c>
      <c r="K12" s="413" t="s">
        <v>145</v>
      </c>
      <c r="L12" s="414" t="s">
        <v>64</v>
      </c>
      <c r="M12" s="415"/>
      <c r="N12" s="21" t="s">
        <v>65</v>
      </c>
      <c r="O12" s="43" t="str">
        <f t="shared" si="0"/>
        <v>Trân</v>
      </c>
      <c r="P12" s="171" t="str">
        <f t="shared" si="1"/>
        <v>Trân</v>
      </c>
      <c r="Q12" s="44">
        <v>3</v>
      </c>
      <c r="R12" s="8" t="s">
        <v>142</v>
      </c>
      <c r="S12" s="46" t="str">
        <f t="shared" ref="S12:T12" si="9">V12</f>
        <v>Thân, Gấm, Nguyên</v>
      </c>
      <c r="T12" s="21">
        <f t="shared" si="9"/>
        <v>3</v>
      </c>
      <c r="U12" s="21" t="str">
        <f t="shared" si="3"/>
        <v>Thân, Gấm, Nguyên</v>
      </c>
      <c r="V12" s="49" t="str">
        <f t="shared" si="8"/>
        <v>Thân, Gấm, Nguyên</v>
      </c>
      <c r="W12" s="21">
        <f t="shared" si="4"/>
        <v>3</v>
      </c>
      <c r="X12" s="21" t="str">
        <f t="array" ref="X12">IFERROR(INDEX($P$10:$P$306,SMALL(IF(($B$10:$B$306=$R12)*($L$10:$L$306="x"),ROW($P$10:$P$306)-9,""),IF(COLUMN()-23&lt;=$W12,COLUMN()-23,0))),"")</f>
        <v>Thân</v>
      </c>
      <c r="Y12" s="21" t="str">
        <f t="array" ref="Y12">IFERROR(INDEX($P$10:$P$306,SMALL(IF(($B$10:$B$306=$R12)*($L$10:$L$306="x"),ROW($P$10:$P$306)-9,""),IF(COLUMN()-23&lt;=$W12,COLUMN()-23,0))),"")</f>
        <v>Gấm</v>
      </c>
      <c r="Z12" s="21" t="str">
        <f t="array" ref="Z12">IFERROR(INDEX($P$10:$P$306,SMALL(IF(($B$10:$B$306=$R12)*($L$10:$L$306="x"),ROW($P$10:$P$306)-9,""),IF(COLUMN()-23&lt;=$W12,COLUMN()-23,0))),"")</f>
        <v>Nguyên</v>
      </c>
      <c r="AA12" s="21" t="str">
        <f t="array" ref="AA12">IFERROR(INDEX($P$10:$P$306,SMALL(IF(($B$10:$B$306=$R12)*($L$10:$L$306="x"),ROW($P$10:$P$306)-9,""),IF(COLUMN()-23&lt;=$W12,COLUMN()-23,0))),"")</f>
        <v/>
      </c>
      <c r="AB12" s="21" t="str">
        <f t="array" ref="AB12">IFERROR(INDEX($P$10:$P$306,SMALL(IF(($B$10:$B$306=$R12)*($L$10:$L$306="x"),ROW($P$10:$P$306)-9,""),IF(COLUMN()-23&lt;=$W12,COLUMN()-23,0))),"")</f>
        <v/>
      </c>
      <c r="AC12" s="21" t="str">
        <f t="array" ref="AC12">IFERROR(INDEX($P$10:$P$306,SMALL(IF(($B$10:$B$306=$R12)*($L$10:$L$306="x"),ROW($P$10:$P$306)-9,""),IF(COLUMN()-23&lt;=$W12,COLUMN()-23,0))),"")</f>
        <v/>
      </c>
      <c r="AD12" s="21" t="str">
        <f t="array" ref="AD12">IFERROR(INDEX($P$10:$P$306,SMALL(IF(($B$10:$B$306=$R12)*($L$10:$L$306="x"),ROW($P$10:$P$306)-9,""),IF(COLUMN()-23&lt;=$W12,COLUMN()-23,0))),"")</f>
        <v/>
      </c>
      <c r="AE12" s="21" t="str">
        <f t="array" ref="AE12">IFERROR(INDEX($P$10:$P$306,SMALL(IF(($B$10:$B$306=$R12)*($L$10:$L$306="x"),ROW($P$10:$P$306)-9,""),IF(COLUMN()-23&lt;=$W12,COLUMN()-23,0))),"")</f>
        <v/>
      </c>
      <c r="AF12" s="21" t="str">
        <f t="array" ref="AF12">IFERROR(INDEX($P$10:$P$306,SMALL(IF(($B$10:$B$306=$R12)*($L$10:$L$306="x"),ROW($P$10:$P$306)-9,""),IF(COLUMN()-23&lt;=$W12,COLUMN()-23,0))),"")</f>
        <v/>
      </c>
      <c r="AG12" s="21" t="str">
        <f t="array" ref="AG12">IFERROR(INDEX($P$10:$P$306,SMALL(IF(($B$10:$B$306=$R12)*($L$10:$L$306="x"),ROW($P$10:$P$306)-9,""),IF(COLUMN()-23&lt;=$W12,COLUMN()-23,0))),"")</f>
        <v/>
      </c>
      <c r="AH12" s="84" t="str">
        <f t="array" ref="AH12">IFERROR(INDEX($P$10:$P$306,SMALL(IF(($B$10:$B$306=$R12)*($L$10:$L$306="x"),ROW($P$10:$P$306)-9,""),IF(COLUMN()-23&lt;=$W12,COLUMN()-23,0))),"")</f>
        <v/>
      </c>
      <c r="AI12" s="8" t="s">
        <v>142</v>
      </c>
      <c r="AJ12" s="21" t="str">
        <f t="shared" ca="1" si="5"/>
        <v>Cường,Tươi,Trân</v>
      </c>
      <c r="AK12" s="21">
        <f t="shared" si="6"/>
        <v>3</v>
      </c>
    </row>
    <row r="13" spans="1:37" ht="27" customHeight="1">
      <c r="A13" s="37">
        <v>4</v>
      </c>
      <c r="B13" s="387" t="s">
        <v>129</v>
      </c>
      <c r="C13" s="112" t="s">
        <v>140</v>
      </c>
      <c r="D13" s="113">
        <v>1986</v>
      </c>
      <c r="E13" s="113"/>
      <c r="F13" s="112" t="s">
        <v>875</v>
      </c>
      <c r="G13" s="113" t="s">
        <v>166</v>
      </c>
      <c r="H13" s="113" t="s">
        <v>167</v>
      </c>
      <c r="I13" s="416" t="s">
        <v>168</v>
      </c>
      <c r="J13" s="113" t="s">
        <v>169</v>
      </c>
      <c r="K13" s="417" t="s">
        <v>63</v>
      </c>
      <c r="L13" s="418" t="s">
        <v>64</v>
      </c>
      <c r="M13" s="419"/>
      <c r="N13" s="21" t="s">
        <v>65</v>
      </c>
      <c r="O13" s="43" t="str">
        <f t="shared" si="0"/>
        <v>Phong</v>
      </c>
      <c r="P13" s="171" t="str">
        <f t="shared" si="1"/>
        <v>Phong</v>
      </c>
      <c r="Q13" s="44">
        <v>4</v>
      </c>
      <c r="R13" s="8" t="s">
        <v>147</v>
      </c>
      <c r="S13" s="46" t="str">
        <f t="shared" ref="S13:T13" si="10">V13</f>
        <v>Quý, Lệ, Quốc, Thắm</v>
      </c>
      <c r="T13" s="21">
        <f t="shared" si="10"/>
        <v>4</v>
      </c>
      <c r="U13" s="21" t="str">
        <f t="shared" si="3"/>
        <v>Quý, Lệ, Quốc, Thắm</v>
      </c>
      <c r="V13" s="49" t="str">
        <f t="shared" si="8"/>
        <v>Quý, Lệ, Quốc, Thắm</v>
      </c>
      <c r="W13" s="21">
        <f t="shared" si="4"/>
        <v>4</v>
      </c>
      <c r="X13" s="21" t="str">
        <f t="array" ref="X13">IFERROR(INDEX($P$10:$P$306,SMALL(IF(($B$10:$B$306=$R13)*($L$10:$L$306="x"),ROW($P$10:$P$306)-9,""),IF(COLUMN()-23&lt;=$W13,COLUMN()-23,0))),"")</f>
        <v>Quý</v>
      </c>
      <c r="Y13" s="21" t="str">
        <f t="array" ref="Y13">IFERROR(INDEX($P$10:$P$306,SMALL(IF(($B$10:$B$306=$R13)*($L$10:$L$306="x"),ROW($P$10:$P$306)-9,""),IF(COLUMN()-23&lt;=$W13,COLUMN()-23,0))),"")</f>
        <v>Lệ</v>
      </c>
      <c r="Z13" s="21" t="str">
        <f t="array" ref="Z13">IFERROR(INDEX($P$10:$P$306,SMALL(IF(($B$10:$B$306=$R13)*($L$10:$L$306="x"),ROW($P$10:$P$306)-9,""),IF(COLUMN()-23&lt;=$W13,COLUMN()-23,0))),"")</f>
        <v>Quốc</v>
      </c>
      <c r="AA13" s="21" t="str">
        <f t="array" ref="AA13">IFERROR(INDEX($P$10:$P$306,SMALL(IF(($B$10:$B$306=$R13)*($L$10:$L$306="x"),ROW($P$10:$P$306)-9,""),IF(COLUMN()-23&lt;=$W13,COLUMN()-23,0))),"")</f>
        <v>Thắm</v>
      </c>
      <c r="AB13" s="21" t="str">
        <f t="array" ref="AB13">IFERROR(INDEX($P$10:$P$306,SMALL(IF(($B$10:$B$306=$R13)*($L$10:$L$306="x"),ROW($P$10:$P$306)-9,""),IF(COLUMN()-23&lt;=$W13,COLUMN()-23,0))),"")</f>
        <v/>
      </c>
      <c r="AC13" s="21" t="str">
        <f t="array" ref="AC13">IFERROR(INDEX($P$10:$P$306,SMALL(IF(($B$10:$B$306=$R13)*($L$10:$L$306="x"),ROW($P$10:$P$306)-9,""),IF(COLUMN()-23&lt;=$W13,COLUMN()-23,0))),"")</f>
        <v/>
      </c>
      <c r="AD13" s="21" t="str">
        <f t="array" ref="AD13">IFERROR(INDEX($P$10:$P$306,SMALL(IF(($B$10:$B$306=$R13)*($L$10:$L$306="x"),ROW($P$10:$P$306)-9,""),IF(COLUMN()-23&lt;=$W13,COLUMN()-23,0))),"")</f>
        <v/>
      </c>
      <c r="AE13" s="21" t="str">
        <f t="array" ref="AE13">IFERROR(INDEX($P$10:$P$306,SMALL(IF(($B$10:$B$306=$R13)*($L$10:$L$306="x"),ROW($P$10:$P$306)-9,""),IF(COLUMN()-23&lt;=$W13,COLUMN()-23,0))),"")</f>
        <v/>
      </c>
      <c r="AF13" s="21" t="str">
        <f t="array" ref="AF13">IFERROR(INDEX($P$10:$P$306,SMALL(IF(($B$10:$B$306=$R13)*($L$10:$L$306="x"),ROW($P$10:$P$306)-9,""),IF(COLUMN()-23&lt;=$W13,COLUMN()-23,0))),"")</f>
        <v/>
      </c>
      <c r="AG13" s="21" t="str">
        <f t="array" ref="AG13">IFERROR(INDEX($P$10:$P$306,SMALL(IF(($B$10:$B$306=$R13)*($L$10:$L$306="x"),ROW($P$10:$P$306)-9,""),IF(COLUMN()-23&lt;=$W13,COLUMN()-23,0))),"")</f>
        <v/>
      </c>
      <c r="AH13" s="84" t="str">
        <f t="array" ref="AH13">IFERROR(INDEX($P$10:$P$306,SMALL(IF(($B$10:$B$306=$R13)*($L$10:$L$306="x"),ROW($P$10:$P$306)-9,""),IF(COLUMN()-23&lt;=$W13,COLUMN()-23,0))),"")</f>
        <v/>
      </c>
      <c r="AI13" s="8" t="s">
        <v>147</v>
      </c>
      <c r="AJ13" s="21" t="str">
        <f t="shared" ca="1" si="5"/>
        <v>Cường,Tươi,Trân</v>
      </c>
      <c r="AK13" s="21">
        <f t="shared" si="6"/>
        <v>4</v>
      </c>
    </row>
    <row r="14" spans="1:37" ht="27" customHeight="1">
      <c r="A14" s="37">
        <v>5</v>
      </c>
      <c r="B14" s="385" t="s">
        <v>129</v>
      </c>
      <c r="C14" s="119" t="s">
        <v>202</v>
      </c>
      <c r="D14" s="121"/>
      <c r="E14" s="121">
        <v>1987</v>
      </c>
      <c r="F14" s="119" t="s">
        <v>204</v>
      </c>
      <c r="G14" s="121" t="s">
        <v>205</v>
      </c>
      <c r="H14" s="121" t="s">
        <v>206</v>
      </c>
      <c r="I14" s="420" t="s">
        <v>207</v>
      </c>
      <c r="J14" s="121" t="s">
        <v>169</v>
      </c>
      <c r="K14" s="421" t="s">
        <v>114</v>
      </c>
      <c r="L14" s="422" t="s">
        <v>64</v>
      </c>
      <c r="M14" s="423"/>
      <c r="N14" s="21" t="s">
        <v>65</v>
      </c>
      <c r="O14" s="43" t="str">
        <f t="shared" si="0"/>
        <v>Trang</v>
      </c>
      <c r="P14" s="171" t="str">
        <f t="shared" si="1"/>
        <v>Trang</v>
      </c>
      <c r="Q14" s="44">
        <v>5</v>
      </c>
      <c r="R14" s="8" t="s">
        <v>149</v>
      </c>
      <c r="S14" s="46" t="str">
        <f t="shared" ref="S14:T14" si="11">V14</f>
        <v>Tâm, Ánh, Nguyên, Thúy, Tài</v>
      </c>
      <c r="T14" s="21">
        <f t="shared" si="11"/>
        <v>5</v>
      </c>
      <c r="U14" s="21" t="str">
        <f t="shared" si="3"/>
        <v>Tâm, Ánh, Nguyên, Thúy, Tài</v>
      </c>
      <c r="V14" s="49" t="str">
        <f t="shared" si="8"/>
        <v>Tâm, Ánh, Nguyên, Thúy, Tài</v>
      </c>
      <c r="W14" s="21">
        <f t="shared" si="4"/>
        <v>5</v>
      </c>
      <c r="X14" s="21" t="str">
        <f t="array" ref="X14">IFERROR(INDEX($P$10:$P$306,SMALL(IF(($B$10:$B$306=$R14)*($L$10:$L$306="x"),ROW($P$10:$P$306)-9,""),IF(COLUMN()-23&lt;=$W14,COLUMN()-23,0))),"")</f>
        <v>Tâm</v>
      </c>
      <c r="Y14" s="21" t="str">
        <f t="array" ref="Y14">IFERROR(INDEX($P$10:$P$306,SMALL(IF(($B$10:$B$306=$R14)*($L$10:$L$306="x"),ROW($P$10:$P$306)-9,""),IF(COLUMN()-23&lt;=$W14,COLUMN()-23,0))),"")</f>
        <v>Ánh</v>
      </c>
      <c r="Z14" s="21" t="str">
        <f t="array" ref="Z14">IFERROR(INDEX($P$10:$P$306,SMALL(IF(($B$10:$B$306=$R14)*($L$10:$L$306="x"),ROW($P$10:$P$306)-9,""),IF(COLUMN()-23&lt;=$W14,COLUMN()-23,0))),"")</f>
        <v>Nguyên</v>
      </c>
      <c r="AA14" s="21" t="str">
        <f t="array" ref="AA14">IFERROR(INDEX($P$10:$P$306,SMALL(IF(($B$10:$B$306=$R14)*($L$10:$L$306="x"),ROW($P$10:$P$306)-9,""),IF(COLUMN()-23&lt;=$W14,COLUMN()-23,0))),"")</f>
        <v>Thúy</v>
      </c>
      <c r="AB14" s="21" t="str">
        <f t="array" ref="AB14">IFERROR(INDEX($P$10:$P$306,SMALL(IF(($B$10:$B$306=$R14)*($L$10:$L$306="x"),ROW($P$10:$P$306)-9,""),IF(COLUMN()-23&lt;=$W14,COLUMN()-23,0))),"")</f>
        <v>Tài</v>
      </c>
      <c r="AC14" s="21" t="str">
        <f t="array" ref="AC14">IFERROR(INDEX($P$10:$P$306,SMALL(IF(($B$10:$B$306=$R14)*($L$10:$L$306="x"),ROW($P$10:$P$306)-9,""),IF(COLUMN()-23&lt;=$W14,COLUMN()-23,0))),"")</f>
        <v/>
      </c>
      <c r="AD14" s="21" t="str">
        <f t="array" ref="AD14">IFERROR(INDEX($P$10:$P$306,SMALL(IF(($B$10:$B$306=$R14)*($L$10:$L$306="x"),ROW($P$10:$P$306)-9,""),IF(COLUMN()-23&lt;=$W14,COLUMN()-23,0))),"")</f>
        <v/>
      </c>
      <c r="AE14" s="21" t="str">
        <f t="array" ref="AE14">IFERROR(INDEX($P$10:$P$306,SMALL(IF(($B$10:$B$306=$R14)*($L$10:$L$306="x"),ROW($P$10:$P$306)-9,""),IF(COLUMN()-23&lt;=$W14,COLUMN()-23,0))),"")</f>
        <v/>
      </c>
      <c r="AF14" s="21" t="str">
        <f t="array" ref="AF14">IFERROR(INDEX($P$10:$P$306,SMALL(IF(($B$10:$B$306=$R14)*($L$10:$L$306="x"),ROW($P$10:$P$306)-9,""),IF(COLUMN()-23&lt;=$W14,COLUMN()-23,0))),"")</f>
        <v/>
      </c>
      <c r="AG14" s="21" t="str">
        <f t="array" ref="AG14">IFERROR(INDEX($P$10:$P$306,SMALL(IF(($B$10:$B$306=$R14)*($L$10:$L$306="x"),ROW($P$10:$P$306)-9,""),IF(COLUMN()-23&lt;=$W14,COLUMN()-23,0))),"")</f>
        <v/>
      </c>
      <c r="AH14" s="84" t="str">
        <f t="array" ref="AH14">IFERROR(INDEX($P$10:$P$306,SMALL(IF(($B$10:$B$306=$R14)*($L$10:$L$306="x"),ROW($P$10:$P$306)-9,""),IF(COLUMN()-23&lt;=$W14,COLUMN()-23,0))),"")</f>
        <v/>
      </c>
      <c r="AI14" s="8" t="s">
        <v>149</v>
      </c>
      <c r="AJ14" s="21" t="str">
        <f t="shared" ca="1" si="5"/>
        <v>Cường,Tươi,Trân</v>
      </c>
      <c r="AK14" s="21">
        <f t="shared" si="6"/>
        <v>5</v>
      </c>
    </row>
    <row r="15" spans="1:37" ht="27" customHeight="1">
      <c r="A15" s="37">
        <v>6</v>
      </c>
      <c r="B15" s="385" t="s">
        <v>129</v>
      </c>
      <c r="C15" s="119" t="s">
        <v>233</v>
      </c>
      <c r="D15" s="121"/>
      <c r="E15" s="121">
        <v>2012</v>
      </c>
      <c r="F15" s="119" t="s">
        <v>204</v>
      </c>
      <c r="G15" s="121" t="s">
        <v>144</v>
      </c>
      <c r="H15" s="121"/>
      <c r="I15" s="420"/>
      <c r="J15" s="121" t="s">
        <v>169</v>
      </c>
      <c r="K15" s="421" t="s">
        <v>145</v>
      </c>
      <c r="L15" s="422" t="s">
        <v>64</v>
      </c>
      <c r="M15" s="423"/>
      <c r="N15" s="21" t="s">
        <v>65</v>
      </c>
      <c r="O15" s="43" t="str">
        <f t="shared" si="0"/>
        <v>Tuyền</v>
      </c>
      <c r="P15" s="171" t="str">
        <f t="shared" si="1"/>
        <v>Tuyền</v>
      </c>
      <c r="Q15" s="44">
        <v>6</v>
      </c>
      <c r="R15" s="8" t="s">
        <v>153</v>
      </c>
      <c r="S15" s="46" t="str">
        <f t="shared" ref="S15:T15" si="12">V15</f>
        <v>Tuấn, Nhiên, Nhất, Nhân, Khôi</v>
      </c>
      <c r="T15" s="21">
        <f t="shared" si="12"/>
        <v>5</v>
      </c>
      <c r="U15" s="21" t="str">
        <f t="shared" si="3"/>
        <v>Tuấn, Nhiên, Nhất, Nhân, Khôi</v>
      </c>
      <c r="V15" s="49" t="str">
        <f t="shared" si="8"/>
        <v>Tuấn, Nhiên, Nhất, Nhân, Khôi</v>
      </c>
      <c r="W15" s="21">
        <f t="shared" si="4"/>
        <v>5</v>
      </c>
      <c r="X15" s="21" t="str">
        <f t="array" ref="X15">IFERROR(INDEX($P$10:$P$306,SMALL(IF(($B$10:$B$306=$R15)*($L$10:$L$306="x"),ROW($P$10:$P$306)-9,""),IF(COLUMN()-23&lt;=$W15,COLUMN()-23,0))),"")</f>
        <v>Tuấn</v>
      </c>
      <c r="Y15" s="21" t="str">
        <f t="array" ref="Y15">IFERROR(INDEX($P$10:$P$306,SMALL(IF(($B$10:$B$306=$R15)*($L$10:$L$306="x"),ROW($P$10:$P$306)-9,""),IF(COLUMN()-23&lt;=$W15,COLUMN()-23,0))),"")</f>
        <v>Nhiên</v>
      </c>
      <c r="Z15" s="21" t="str">
        <f t="array" ref="Z15">IFERROR(INDEX($P$10:$P$306,SMALL(IF(($B$10:$B$306=$R15)*($L$10:$L$306="x"),ROW($P$10:$P$306)-9,""),IF(COLUMN()-23&lt;=$W15,COLUMN()-23,0))),"")</f>
        <v>Nhất</v>
      </c>
      <c r="AA15" s="21" t="str">
        <f t="array" ref="AA15">IFERROR(INDEX($P$10:$P$306,SMALL(IF(($B$10:$B$306=$R15)*($L$10:$L$306="x"),ROW($P$10:$P$306)-9,""),IF(COLUMN()-23&lt;=$W15,COLUMN()-23,0))),"")</f>
        <v>Nhân</v>
      </c>
      <c r="AB15" s="21" t="str">
        <f t="array" ref="AB15">IFERROR(INDEX($P$10:$P$306,SMALL(IF(($B$10:$B$306=$R15)*($L$10:$L$306="x"),ROW($P$10:$P$306)-9,""),IF(COLUMN()-23&lt;=$W15,COLUMN()-23,0))),"")</f>
        <v>Khôi</v>
      </c>
      <c r="AC15" s="21" t="str">
        <f t="array" ref="AC15">IFERROR(INDEX($P$10:$P$306,SMALL(IF(($B$10:$B$306=$R15)*($L$10:$L$306="x"),ROW($P$10:$P$306)-9,""),IF(COLUMN()-23&lt;=$W15,COLUMN()-23,0))),"")</f>
        <v/>
      </c>
      <c r="AD15" s="21" t="str">
        <f t="array" ref="AD15">IFERROR(INDEX($P$10:$P$306,SMALL(IF(($B$10:$B$306=$R15)*($L$10:$L$306="x"),ROW($P$10:$P$306)-9,""),IF(COLUMN()-23&lt;=$W15,COLUMN()-23,0))),"")</f>
        <v/>
      </c>
      <c r="AE15" s="21" t="str">
        <f t="array" ref="AE15">IFERROR(INDEX($P$10:$P$306,SMALL(IF(($B$10:$B$306=$R15)*($L$10:$L$306="x"),ROW($P$10:$P$306)-9,""),IF(COLUMN()-23&lt;=$W15,COLUMN()-23,0))),"")</f>
        <v/>
      </c>
      <c r="AF15" s="21" t="str">
        <f t="array" ref="AF15">IFERROR(INDEX($P$10:$P$306,SMALL(IF(($B$10:$B$306=$R15)*($L$10:$L$306="x"),ROW($P$10:$P$306)-9,""),IF(COLUMN()-23&lt;=$W15,COLUMN()-23,0))),"")</f>
        <v/>
      </c>
      <c r="AG15" s="21" t="str">
        <f t="array" ref="AG15">IFERROR(INDEX($P$10:$P$306,SMALL(IF(($B$10:$B$306=$R15)*($L$10:$L$306="x"),ROW($P$10:$P$306)-9,""),IF(COLUMN()-23&lt;=$W15,COLUMN()-23,0))),"")</f>
        <v/>
      </c>
      <c r="AH15" s="84" t="str">
        <f t="array" ref="AH15">IFERROR(INDEX($P$10:$P$306,SMALL(IF(($B$10:$B$306=$R15)*($L$10:$L$306="x"),ROW($P$10:$P$306)-9,""),IF(COLUMN()-23&lt;=$W15,COLUMN()-23,0))),"")</f>
        <v/>
      </c>
      <c r="AI15" s="8" t="s">
        <v>153</v>
      </c>
      <c r="AJ15" s="21" t="str">
        <f t="shared" ca="1" si="5"/>
        <v>Cường,Tươi,Trân</v>
      </c>
      <c r="AK15" s="21">
        <f t="shared" si="6"/>
        <v>5</v>
      </c>
    </row>
    <row r="16" spans="1:37" ht="27" customHeight="1">
      <c r="A16" s="37">
        <v>7</v>
      </c>
      <c r="B16" s="385" t="s">
        <v>129</v>
      </c>
      <c r="C16" s="119" t="s">
        <v>259</v>
      </c>
      <c r="D16" s="121">
        <v>1978</v>
      </c>
      <c r="E16" s="121"/>
      <c r="F16" s="119" t="s">
        <v>260</v>
      </c>
      <c r="G16" s="121" t="s">
        <v>261</v>
      </c>
      <c r="H16" s="121" t="s">
        <v>262</v>
      </c>
      <c r="I16" s="420"/>
      <c r="J16" s="121"/>
      <c r="K16" s="421"/>
      <c r="L16" s="422"/>
      <c r="M16" s="423" t="s">
        <v>263</v>
      </c>
      <c r="N16" s="21" t="s">
        <v>65</v>
      </c>
      <c r="O16" s="43" t="str">
        <f t="shared" si="0"/>
        <v>Hậu</v>
      </c>
      <c r="P16" s="171" t="str">
        <f t="shared" si="1"/>
        <v/>
      </c>
      <c r="Q16" s="44">
        <v>7</v>
      </c>
      <c r="R16" s="8" t="s">
        <v>162</v>
      </c>
      <c r="S16" s="46" t="str">
        <f t="shared" ref="S16:T16" si="13">V16</f>
        <v>Tân, Trường, Vũ, Long</v>
      </c>
      <c r="T16" s="21">
        <f t="shared" si="13"/>
        <v>4</v>
      </c>
      <c r="U16" s="21" t="str">
        <f t="shared" si="3"/>
        <v>Tân, Trường, Vũ, Long</v>
      </c>
      <c r="V16" s="49" t="str">
        <f t="shared" si="8"/>
        <v>Tân, Trường, Vũ, Long</v>
      </c>
      <c r="W16" s="21">
        <f t="shared" si="4"/>
        <v>4</v>
      </c>
      <c r="X16" s="21" t="str">
        <f t="array" ref="X16">IFERROR(INDEX($P$10:$P$306,SMALL(IF(($B$10:$B$306=$R16)*($L$10:$L$306="x"),ROW($P$10:$P$306)-9,""),IF(COLUMN()-23&lt;=$W16,COLUMN()-23,0))),"")</f>
        <v>Tân</v>
      </c>
      <c r="Y16" s="21" t="str">
        <f t="array" ref="Y16">IFERROR(INDEX($P$10:$P$306,SMALL(IF(($B$10:$B$306=$R16)*($L$10:$L$306="x"),ROW($P$10:$P$306)-9,""),IF(COLUMN()-23&lt;=$W16,COLUMN()-23,0))),"")</f>
        <v>Trường</v>
      </c>
      <c r="Z16" s="21" t="str">
        <f t="array" ref="Z16">IFERROR(INDEX($P$10:$P$306,SMALL(IF(($B$10:$B$306=$R16)*($L$10:$L$306="x"),ROW($P$10:$P$306)-9,""),IF(COLUMN()-23&lt;=$W16,COLUMN()-23,0))),"")</f>
        <v>Vũ</v>
      </c>
      <c r="AA16" s="21" t="str">
        <f t="array" ref="AA16">IFERROR(INDEX($P$10:$P$306,SMALL(IF(($B$10:$B$306=$R16)*($L$10:$L$306="x"),ROW($P$10:$P$306)-9,""),IF(COLUMN()-23&lt;=$W16,COLUMN()-23,0))),"")</f>
        <v>Long</v>
      </c>
      <c r="AB16" s="21" t="str">
        <f t="array" ref="AB16">IFERROR(INDEX($P$10:$P$306,SMALL(IF(($B$10:$B$306=$R16)*($L$10:$L$306="x"),ROW($P$10:$P$306)-9,""),IF(COLUMN()-23&lt;=$W16,COLUMN()-23,0))),"")</f>
        <v/>
      </c>
      <c r="AC16" s="21" t="str">
        <f t="array" ref="AC16">IFERROR(INDEX($P$10:$P$306,SMALL(IF(($B$10:$B$306=$R16)*($L$10:$L$306="x"),ROW($P$10:$P$306)-9,""),IF(COLUMN()-23&lt;=$W16,COLUMN()-23,0))),"")</f>
        <v/>
      </c>
      <c r="AD16" s="21" t="str">
        <f t="array" ref="AD16">IFERROR(INDEX($P$10:$P$306,SMALL(IF(($B$10:$B$306=$R16)*($L$10:$L$306="x"),ROW($P$10:$P$306)-9,""),IF(COLUMN()-23&lt;=$W16,COLUMN()-23,0))),"")</f>
        <v/>
      </c>
      <c r="AE16" s="21" t="str">
        <f t="array" ref="AE16">IFERROR(INDEX($P$10:$P$306,SMALL(IF(($B$10:$B$306=$R16)*($L$10:$L$306="x"),ROW($P$10:$P$306)-9,""),IF(COLUMN()-23&lt;=$W16,COLUMN()-23,0))),"")</f>
        <v/>
      </c>
      <c r="AF16" s="21" t="str">
        <f t="array" ref="AF16">IFERROR(INDEX($P$10:$P$306,SMALL(IF(($B$10:$B$306=$R16)*($L$10:$L$306="x"),ROW($P$10:$P$306)-9,""),IF(COLUMN()-23&lt;=$W16,COLUMN()-23,0))),"")</f>
        <v/>
      </c>
      <c r="AG16" s="21" t="str">
        <f t="array" ref="AG16">IFERROR(INDEX($P$10:$P$306,SMALL(IF(($B$10:$B$306=$R16)*($L$10:$L$306="x"),ROW($P$10:$P$306)-9,""),IF(COLUMN()-23&lt;=$W16,COLUMN()-23,0))),"")</f>
        <v/>
      </c>
      <c r="AH16" s="84" t="str">
        <f t="array" ref="AH16">IFERROR(INDEX($P$10:$P$306,SMALL(IF(($B$10:$B$306=$R16)*($L$10:$L$306="x"),ROW($P$10:$P$306)-9,""),IF(COLUMN()-23&lt;=$W16,COLUMN()-23,0))),"")</f>
        <v/>
      </c>
      <c r="AI16" s="8" t="s">
        <v>162</v>
      </c>
      <c r="AJ16" s="21" t="str">
        <f t="shared" ca="1" si="5"/>
        <v>Cường,Tươi,Trân</v>
      </c>
      <c r="AK16" s="21">
        <f t="shared" si="6"/>
        <v>4</v>
      </c>
    </row>
    <row r="17" spans="1:37" ht="27" customHeight="1" thickBot="1">
      <c r="A17" s="37">
        <v>8</v>
      </c>
      <c r="B17" s="388" t="s">
        <v>129</v>
      </c>
      <c r="C17" s="163" t="s">
        <v>810</v>
      </c>
      <c r="D17" s="164"/>
      <c r="E17" s="164">
        <v>1970</v>
      </c>
      <c r="F17" s="163" t="s">
        <v>204</v>
      </c>
      <c r="G17" s="164" t="s">
        <v>273</v>
      </c>
      <c r="H17" s="164" t="s">
        <v>274</v>
      </c>
      <c r="I17" s="424"/>
      <c r="J17" s="164"/>
      <c r="K17" s="425"/>
      <c r="L17" s="426"/>
      <c r="M17" s="427" t="s">
        <v>263</v>
      </c>
      <c r="N17" s="21" t="s">
        <v>65</v>
      </c>
      <c r="O17" s="43" t="str">
        <f t="shared" si="0"/>
        <v>Bông</v>
      </c>
      <c r="P17" s="171" t="str">
        <f t="shared" si="1"/>
        <v/>
      </c>
      <c r="Q17" s="44">
        <v>8</v>
      </c>
      <c r="R17" s="8" t="s">
        <v>173</v>
      </c>
      <c r="S17" s="46" t="str">
        <f t="shared" ref="S17:T17" si="14">V17</f>
        <v>Toàn, Xuyến, Vẹn</v>
      </c>
      <c r="T17" s="21">
        <f t="shared" si="14"/>
        <v>3</v>
      </c>
      <c r="U17" s="21" t="str">
        <f t="shared" si="3"/>
        <v>Toàn, Xuyến, Vẹn</v>
      </c>
      <c r="V17" s="49" t="str">
        <f t="shared" si="8"/>
        <v>Toàn, Xuyến, Vẹn</v>
      </c>
      <c r="W17" s="21">
        <f t="shared" si="4"/>
        <v>3</v>
      </c>
      <c r="X17" s="21" t="str">
        <f t="array" ref="X17">IFERROR(INDEX($P$10:$P$306,SMALL(IF(($B$10:$B$306=$R17)*($L$10:$L$306="x"),ROW($P$10:$P$306)-9,""),IF(COLUMN()-23&lt;=$W17,COLUMN()-23,0))),"")</f>
        <v>Toàn</v>
      </c>
      <c r="Y17" s="21" t="str">
        <f t="array" ref="Y17">IFERROR(INDEX($P$10:$P$306,SMALL(IF(($B$10:$B$306=$R17)*($L$10:$L$306="x"),ROW($P$10:$P$306)-9,""),IF(COLUMN()-23&lt;=$W17,COLUMN()-23,0))),"")</f>
        <v>Xuyến</v>
      </c>
      <c r="Z17" s="21" t="str">
        <f t="array" ref="Z17">IFERROR(INDEX($P$10:$P$306,SMALL(IF(($B$10:$B$306=$R17)*($L$10:$L$306="x"),ROW($P$10:$P$306)-9,""),IF(COLUMN()-23&lt;=$W17,COLUMN()-23,0))),"")</f>
        <v>Vẹn</v>
      </c>
      <c r="AA17" s="21" t="str">
        <f t="array" ref="AA17">IFERROR(INDEX($P$10:$P$306,SMALL(IF(($B$10:$B$306=$R17)*($L$10:$L$306="x"),ROW($P$10:$P$306)-9,""),IF(COLUMN()-23&lt;=$W17,COLUMN()-23,0))),"")</f>
        <v/>
      </c>
      <c r="AB17" s="21" t="str">
        <f t="array" ref="AB17">IFERROR(INDEX($P$10:$P$306,SMALL(IF(($B$10:$B$306=$R17)*($L$10:$L$306="x"),ROW($P$10:$P$306)-9,""),IF(COLUMN()-23&lt;=$W17,COLUMN()-23,0))),"")</f>
        <v/>
      </c>
      <c r="AC17" s="21" t="str">
        <f t="array" ref="AC17">IFERROR(INDEX($P$10:$P$306,SMALL(IF(($B$10:$B$306=$R17)*($L$10:$L$306="x"),ROW($P$10:$P$306)-9,""),IF(COLUMN()-23&lt;=$W17,COLUMN()-23,0))),"")</f>
        <v/>
      </c>
      <c r="AD17" s="21" t="str">
        <f t="array" ref="AD17">IFERROR(INDEX($P$10:$P$306,SMALL(IF(($B$10:$B$306=$R17)*($L$10:$L$306="x"),ROW($P$10:$P$306)-9,""),IF(COLUMN()-23&lt;=$W17,COLUMN()-23,0))),"")</f>
        <v/>
      </c>
      <c r="AE17" s="21" t="str">
        <f t="array" ref="AE17">IFERROR(INDEX($P$10:$P$306,SMALL(IF(($B$10:$B$306=$R17)*($L$10:$L$306="x"),ROW($P$10:$P$306)-9,""),IF(COLUMN()-23&lt;=$W17,COLUMN()-23,0))),"")</f>
        <v/>
      </c>
      <c r="AF17" s="21" t="str">
        <f t="array" ref="AF17">IFERROR(INDEX($P$10:$P$306,SMALL(IF(($B$10:$B$306=$R17)*($L$10:$L$306="x"),ROW($P$10:$P$306)-9,""),IF(COLUMN()-23&lt;=$W17,COLUMN()-23,0))),"")</f>
        <v/>
      </c>
      <c r="AG17" s="21" t="str">
        <f t="array" ref="AG17">IFERROR(INDEX($P$10:$P$306,SMALL(IF(($B$10:$B$306=$R17)*($L$10:$L$306="x"),ROW($P$10:$P$306)-9,""),IF(COLUMN()-23&lt;=$W17,COLUMN()-23,0))),"")</f>
        <v/>
      </c>
      <c r="AH17" s="84" t="str">
        <f t="array" ref="AH17">IFERROR(INDEX($P$10:$P$306,SMALL(IF(($B$10:$B$306=$R17)*($L$10:$L$306="x"),ROW($P$10:$P$306)-9,""),IF(COLUMN()-23&lt;=$W17,COLUMN()-23,0))),"")</f>
        <v/>
      </c>
      <c r="AI17" s="8" t="s">
        <v>173</v>
      </c>
      <c r="AJ17" s="21" t="str">
        <f t="shared" ca="1" si="5"/>
        <v>Cường,Tươi,Trân</v>
      </c>
      <c r="AK17" s="21">
        <f t="shared" si="6"/>
        <v>3</v>
      </c>
    </row>
    <row r="18" spans="1:37" ht="27" customHeight="1">
      <c r="A18" s="37">
        <v>9</v>
      </c>
      <c r="B18" s="384" t="s">
        <v>142</v>
      </c>
      <c r="C18" s="39" t="s">
        <v>141</v>
      </c>
      <c r="D18" s="40">
        <v>1982</v>
      </c>
      <c r="E18" s="40"/>
      <c r="F18" s="39" t="s">
        <v>293</v>
      </c>
      <c r="G18" s="40" t="s">
        <v>294</v>
      </c>
      <c r="H18" s="40" t="s">
        <v>295</v>
      </c>
      <c r="I18" s="404" t="s">
        <v>296</v>
      </c>
      <c r="J18" s="40" t="s">
        <v>297</v>
      </c>
      <c r="K18" s="405" t="s">
        <v>63</v>
      </c>
      <c r="L18" s="406" t="s">
        <v>64</v>
      </c>
      <c r="M18" s="407"/>
      <c r="N18" s="21" t="s">
        <v>65</v>
      </c>
      <c r="O18" s="43" t="str">
        <f t="shared" si="0"/>
        <v>Thân</v>
      </c>
      <c r="P18" s="171" t="str">
        <f t="shared" si="1"/>
        <v>Thân</v>
      </c>
      <c r="Q18" s="44">
        <v>9</v>
      </c>
      <c r="R18" s="8" t="s">
        <v>179</v>
      </c>
      <c r="S18" s="46" t="str">
        <f t="shared" ref="S18:T18" si="15">V18</f>
        <v>Phong, Vũ, Nguyên, Phụng</v>
      </c>
      <c r="T18" s="21">
        <f t="shared" si="15"/>
        <v>4</v>
      </c>
      <c r="U18" s="21" t="str">
        <f t="shared" si="3"/>
        <v>Phong, Vũ, Nguyên, Phụng</v>
      </c>
      <c r="V18" s="49" t="str">
        <f t="shared" si="8"/>
        <v>Phong, Vũ, Nguyên, Phụng</v>
      </c>
      <c r="W18" s="21">
        <f t="shared" si="4"/>
        <v>4</v>
      </c>
      <c r="X18" s="21" t="str">
        <f t="array" ref="X18">IFERROR(INDEX($P$10:$P$306,SMALL(IF(($B$10:$B$306=$R18)*($L$10:$L$306="x"),ROW($P$10:$P$306)-9,""),IF(COLUMN()-23&lt;=$W18,COLUMN()-23,0))),"")</f>
        <v>Phong</v>
      </c>
      <c r="Y18" s="21" t="str">
        <f t="array" ref="Y18">IFERROR(INDEX($P$10:$P$306,SMALL(IF(($B$10:$B$306=$R18)*($L$10:$L$306="x"),ROW($P$10:$P$306)-9,""),IF(COLUMN()-23&lt;=$W18,COLUMN()-23,0))),"")</f>
        <v>Vũ</v>
      </c>
      <c r="Z18" s="21" t="str">
        <f t="array" ref="Z18">IFERROR(INDEX($P$10:$P$306,SMALL(IF(($B$10:$B$306=$R18)*($L$10:$L$306="x"),ROW($P$10:$P$306)-9,""),IF(COLUMN()-23&lt;=$W18,COLUMN()-23,0))),"")</f>
        <v>Nguyên</v>
      </c>
      <c r="AA18" s="21" t="str">
        <f t="array" ref="AA18">IFERROR(INDEX($P$10:$P$306,SMALL(IF(($B$10:$B$306=$R18)*($L$10:$L$306="x"),ROW($P$10:$P$306)-9,""),IF(COLUMN()-23&lt;=$W18,COLUMN()-23,0))),"")</f>
        <v>Phụng</v>
      </c>
      <c r="AB18" s="21" t="str">
        <f t="array" ref="AB18">IFERROR(INDEX($P$10:$P$306,SMALL(IF(($B$10:$B$306=$R18)*($L$10:$L$306="x"),ROW($P$10:$P$306)-9,""),IF(COLUMN()-23&lt;=$W18,COLUMN()-23,0))),"")</f>
        <v/>
      </c>
      <c r="AC18" s="21" t="str">
        <f t="array" ref="AC18">IFERROR(INDEX($P$10:$P$306,SMALL(IF(($B$10:$B$306=$R18)*($L$10:$L$306="x"),ROW($P$10:$P$306)-9,""),IF(COLUMN()-23&lt;=$W18,COLUMN()-23,0))),"")</f>
        <v/>
      </c>
      <c r="AD18" s="21" t="str">
        <f t="array" ref="AD18">IFERROR(INDEX($P$10:$P$306,SMALL(IF(($B$10:$B$306=$R18)*($L$10:$L$306="x"),ROW($P$10:$P$306)-9,""),IF(COLUMN()-23&lt;=$W18,COLUMN()-23,0))),"")</f>
        <v/>
      </c>
      <c r="AE18" s="21" t="str">
        <f t="array" ref="AE18">IFERROR(INDEX($P$10:$P$306,SMALL(IF(($B$10:$B$306=$R18)*($L$10:$L$306="x"),ROW($P$10:$P$306)-9,""),IF(COLUMN()-23&lt;=$W18,COLUMN()-23,0))),"")</f>
        <v/>
      </c>
      <c r="AF18" s="21" t="str">
        <f t="array" ref="AF18">IFERROR(INDEX($P$10:$P$306,SMALL(IF(($B$10:$B$306=$R18)*($L$10:$L$306="x"),ROW($P$10:$P$306)-9,""),IF(COLUMN()-23&lt;=$W18,COLUMN()-23,0))),"")</f>
        <v/>
      </c>
      <c r="AG18" s="21" t="str">
        <f t="array" ref="AG18">IFERROR(INDEX($P$10:$P$306,SMALL(IF(($B$10:$B$306=$R18)*($L$10:$L$306="x"),ROW($P$10:$P$306)-9,""),IF(COLUMN()-23&lt;=$W18,COLUMN()-23,0))),"")</f>
        <v/>
      </c>
      <c r="AH18" s="84" t="str">
        <f t="array" ref="AH18">IFERROR(INDEX($P$10:$P$306,SMALL(IF(($B$10:$B$306=$R18)*($L$10:$L$306="x"),ROW($P$10:$P$306)-9,""),IF(COLUMN()-23&lt;=$W18,COLUMN()-23,0))),"")</f>
        <v/>
      </c>
      <c r="AI18" s="8" t="s">
        <v>179</v>
      </c>
      <c r="AJ18" s="21" t="str">
        <f t="shared" ca="1" si="5"/>
        <v>Cường,Tươi,Trân</v>
      </c>
      <c r="AK18" s="21">
        <f t="shared" si="6"/>
        <v>4</v>
      </c>
    </row>
    <row r="19" spans="1:37" ht="27" customHeight="1">
      <c r="A19" s="37">
        <v>10</v>
      </c>
      <c r="B19" s="385" t="s">
        <v>142</v>
      </c>
      <c r="C19" s="85" t="s">
        <v>307</v>
      </c>
      <c r="D19" s="86"/>
      <c r="E19" s="86">
        <v>1981</v>
      </c>
      <c r="F19" s="85" t="s">
        <v>293</v>
      </c>
      <c r="G19" s="86" t="s">
        <v>308</v>
      </c>
      <c r="H19" s="86" t="s">
        <v>309</v>
      </c>
      <c r="I19" s="408"/>
      <c r="J19" s="86" t="s">
        <v>297</v>
      </c>
      <c r="K19" s="409" t="s">
        <v>114</v>
      </c>
      <c r="L19" s="410" t="s">
        <v>64</v>
      </c>
      <c r="M19" s="411"/>
      <c r="N19" s="21" t="s">
        <v>65</v>
      </c>
      <c r="O19" s="43" t="str">
        <f t="shared" si="0"/>
        <v>Gấm</v>
      </c>
      <c r="P19" s="171" t="str">
        <f t="shared" si="1"/>
        <v>Gấm</v>
      </c>
      <c r="Q19" s="44">
        <v>10</v>
      </c>
      <c r="R19" s="8" t="s">
        <v>188</v>
      </c>
      <c r="S19" s="46" t="str">
        <f t="shared" ref="S19:T19" si="16">V19</f>
        <v>Điệp, Lành, Phát, Phấn, Phước, Thúy, Duyên</v>
      </c>
      <c r="T19" s="21">
        <f t="shared" si="16"/>
        <v>7</v>
      </c>
      <c r="U19" s="21" t="str">
        <f t="shared" si="3"/>
        <v>Điệp, Lành, Phát, Phấn, Phước, Thúy, Duyên</v>
      </c>
      <c r="V19" s="49" t="str">
        <f t="shared" si="8"/>
        <v>Điệp, Lành, Phát, Phấn, Phước, Thúy, Duyên</v>
      </c>
      <c r="W19" s="21">
        <f t="shared" si="4"/>
        <v>7</v>
      </c>
      <c r="X19" s="21" t="str">
        <f t="array" ref="X19">IFERROR(INDEX($P$10:$P$306,SMALL(IF(($B$10:$B$306=$R19)*($L$10:$L$306="x"),ROW($P$10:$P$306)-9,""),IF(COLUMN()-23&lt;=$W19,COLUMN()-23,0))),"")</f>
        <v>Điệp</v>
      </c>
      <c r="Y19" s="21" t="str">
        <f t="array" ref="Y19">IFERROR(INDEX($P$10:$P$306,SMALL(IF(($B$10:$B$306=$R19)*($L$10:$L$306="x"),ROW($P$10:$P$306)-9,""),IF(COLUMN()-23&lt;=$W19,COLUMN()-23,0))),"")</f>
        <v>Lành</v>
      </c>
      <c r="Z19" s="21" t="str">
        <f t="array" ref="Z19">IFERROR(INDEX($P$10:$P$306,SMALL(IF(($B$10:$B$306=$R19)*($L$10:$L$306="x"),ROW($P$10:$P$306)-9,""),IF(COLUMN()-23&lt;=$W19,COLUMN()-23,0))),"")</f>
        <v>Phát</v>
      </c>
      <c r="AA19" s="21" t="str">
        <f t="array" ref="AA19">IFERROR(INDEX($P$10:$P$306,SMALL(IF(($B$10:$B$306=$R19)*($L$10:$L$306="x"),ROW($P$10:$P$306)-9,""),IF(COLUMN()-23&lt;=$W19,COLUMN()-23,0))),"")</f>
        <v>Phấn</v>
      </c>
      <c r="AB19" s="21" t="str">
        <f t="array" ref="AB19">IFERROR(INDEX($P$10:$P$306,SMALL(IF(($B$10:$B$306=$R19)*($L$10:$L$306="x"),ROW($P$10:$P$306)-9,""),IF(COLUMN()-23&lt;=$W19,COLUMN()-23,0))),"")</f>
        <v>Phước</v>
      </c>
      <c r="AC19" s="21" t="str">
        <f t="array" ref="AC19">IFERROR(INDEX($P$10:$P$306,SMALL(IF(($B$10:$B$306=$R19)*($L$10:$L$306="x"),ROW($P$10:$P$306)-9,""),IF(COLUMN()-23&lt;=$W19,COLUMN()-23,0))),"")</f>
        <v>Thúy</v>
      </c>
      <c r="AD19" s="21" t="str">
        <f t="array" ref="AD19">IFERROR(INDEX($P$10:$P$306,SMALL(IF(($B$10:$B$306=$R19)*($L$10:$L$306="x"),ROW($P$10:$P$306)-9,""),IF(COLUMN()-23&lt;=$W19,COLUMN()-23,0))),"")</f>
        <v>Duyên</v>
      </c>
      <c r="AE19" s="21" t="str">
        <f t="array" ref="AE19">IFERROR(INDEX($P$10:$P$306,SMALL(IF(($B$10:$B$306=$R19)*($L$10:$L$306="x"),ROW($P$10:$P$306)-9,""),IF(COLUMN()-23&lt;=$W19,COLUMN()-23,0))),"")</f>
        <v/>
      </c>
      <c r="AF19" s="21" t="str">
        <f t="array" ref="AF19">IFERROR(INDEX($P$10:$P$306,SMALL(IF(($B$10:$B$306=$R19)*($L$10:$L$306="x"),ROW($P$10:$P$306)-9,""),IF(COLUMN()-23&lt;=$W19,COLUMN()-23,0))),"")</f>
        <v/>
      </c>
      <c r="AG19" s="21" t="str">
        <f t="array" ref="AG19">IFERROR(INDEX($P$10:$P$306,SMALL(IF(($B$10:$B$306=$R19)*($L$10:$L$306="x"),ROW($P$10:$P$306)-9,""),IF(COLUMN()-23&lt;=$W19,COLUMN()-23,0))),"")</f>
        <v/>
      </c>
      <c r="AH19" s="84" t="str">
        <f t="array" ref="AH19">IFERROR(INDEX($P$10:$P$306,SMALL(IF(($B$10:$B$306=$R19)*($L$10:$L$306="x"),ROW($P$10:$P$306)-9,""),IF(COLUMN()-23&lt;=$W19,COLUMN()-23,0))),"")</f>
        <v/>
      </c>
      <c r="AI19" s="8" t="s">
        <v>188</v>
      </c>
      <c r="AJ19" s="21" t="str">
        <f t="shared" ca="1" si="5"/>
        <v>Cường,Tươi,Trân</v>
      </c>
      <c r="AK19" s="21">
        <f t="shared" si="6"/>
        <v>7</v>
      </c>
    </row>
    <row r="20" spans="1:37" ht="27" customHeight="1">
      <c r="A20" s="37">
        <v>11</v>
      </c>
      <c r="B20" s="385" t="s">
        <v>142</v>
      </c>
      <c r="C20" s="85" t="s">
        <v>314</v>
      </c>
      <c r="D20" s="86">
        <v>2014</v>
      </c>
      <c r="E20" s="86"/>
      <c r="F20" s="85" t="s">
        <v>293</v>
      </c>
      <c r="G20" s="86" t="s">
        <v>144</v>
      </c>
      <c r="H20" s="86"/>
      <c r="I20" s="408"/>
      <c r="J20" s="86" t="s">
        <v>297</v>
      </c>
      <c r="K20" s="409" t="s">
        <v>315</v>
      </c>
      <c r="L20" s="410" t="s">
        <v>64</v>
      </c>
      <c r="M20" s="411"/>
      <c r="N20" s="21" t="s">
        <v>65</v>
      </c>
      <c r="O20" s="43" t="str">
        <f t="shared" si="0"/>
        <v>Nguyên</v>
      </c>
      <c r="P20" s="171" t="str">
        <f t="shared" si="1"/>
        <v>Nguyên</v>
      </c>
      <c r="Q20" s="44">
        <v>11</v>
      </c>
      <c r="R20" s="8" t="s">
        <v>194</v>
      </c>
      <c r="S20" s="46" t="str">
        <f t="shared" ref="S20:T20" si="17">V20</f>
        <v>Mãng, Hằng, Nhí, Thúy, Mai</v>
      </c>
      <c r="T20" s="21">
        <f t="shared" si="17"/>
        <v>5</v>
      </c>
      <c r="U20" s="21" t="str">
        <f t="shared" si="3"/>
        <v>Mãng, Hằng, Nhí, Thúy, Mai</v>
      </c>
      <c r="V20" s="49" t="str">
        <f t="shared" si="8"/>
        <v>Mãng, Hằng, Nhí, Thúy, Mai</v>
      </c>
      <c r="W20" s="21">
        <f t="shared" si="4"/>
        <v>5</v>
      </c>
      <c r="X20" s="21" t="str">
        <f t="array" ref="X20">IFERROR(INDEX($P$10:$P$306,SMALL(IF(($B$10:$B$306=$R20)*($L$10:$L$306="x"),ROW($P$10:$P$306)-9,""),IF(COLUMN()-23&lt;=$W20,COLUMN()-23,0))),"")</f>
        <v>Mãng</v>
      </c>
      <c r="Y20" s="21" t="str">
        <f t="array" ref="Y20">IFERROR(INDEX($P$10:$P$306,SMALL(IF(($B$10:$B$306=$R20)*($L$10:$L$306="x"),ROW($P$10:$P$306)-9,""),IF(COLUMN()-23&lt;=$W20,COLUMN()-23,0))),"")</f>
        <v>Hằng</v>
      </c>
      <c r="Z20" s="21" t="str">
        <f t="array" ref="Z20">IFERROR(INDEX($P$10:$P$306,SMALL(IF(($B$10:$B$306=$R20)*($L$10:$L$306="x"),ROW($P$10:$P$306)-9,""),IF(COLUMN()-23&lt;=$W20,COLUMN()-23,0))),"")</f>
        <v>Nhí</v>
      </c>
      <c r="AA20" s="21" t="str">
        <f t="array" ref="AA20">IFERROR(INDEX($P$10:$P$306,SMALL(IF(($B$10:$B$306=$R20)*($L$10:$L$306="x"),ROW($P$10:$P$306)-9,""),IF(COLUMN()-23&lt;=$W20,COLUMN()-23,0))),"")</f>
        <v>Thúy</v>
      </c>
      <c r="AB20" s="21" t="str">
        <f t="array" ref="AB20">IFERROR(INDEX($P$10:$P$306,SMALL(IF(($B$10:$B$306=$R20)*($L$10:$L$306="x"),ROW($P$10:$P$306)-9,""),IF(COLUMN()-23&lt;=$W20,COLUMN()-23,0))),"")</f>
        <v>Mai</v>
      </c>
      <c r="AC20" s="21" t="str">
        <f t="array" ref="AC20">IFERROR(INDEX($P$10:$P$306,SMALL(IF(($B$10:$B$306=$R20)*($L$10:$L$306="x"),ROW($P$10:$P$306)-9,""),IF(COLUMN()-23&lt;=$W20,COLUMN()-23,0))),"")</f>
        <v/>
      </c>
      <c r="AD20" s="21" t="str">
        <f t="array" ref="AD20">IFERROR(INDEX($P$10:$P$306,SMALL(IF(($B$10:$B$306=$R20)*($L$10:$L$306="x"),ROW($P$10:$P$306)-9,""),IF(COLUMN()-23&lt;=$W20,COLUMN()-23,0))),"")</f>
        <v/>
      </c>
      <c r="AE20" s="21" t="str">
        <f t="array" ref="AE20">IFERROR(INDEX($P$10:$P$306,SMALL(IF(($B$10:$B$306=$R20)*($L$10:$L$306="x"),ROW($P$10:$P$306)-9,""),IF(COLUMN()-23&lt;=$W20,COLUMN()-23,0))),"")</f>
        <v/>
      </c>
      <c r="AF20" s="21" t="str">
        <f t="array" ref="AF20">IFERROR(INDEX($P$10:$P$306,SMALL(IF(($B$10:$B$306=$R20)*($L$10:$L$306="x"),ROW($P$10:$P$306)-9,""),IF(COLUMN()-23&lt;=$W20,COLUMN()-23,0))),"")</f>
        <v/>
      </c>
      <c r="AG20" s="21" t="str">
        <f t="array" ref="AG20">IFERROR(INDEX($P$10:$P$306,SMALL(IF(($B$10:$B$306=$R20)*($L$10:$L$306="x"),ROW($P$10:$P$306)-9,""),IF(COLUMN()-23&lt;=$W20,COLUMN()-23,0))),"")</f>
        <v/>
      </c>
      <c r="AH20" s="84" t="str">
        <f t="array" ref="AH20">IFERROR(INDEX($P$10:$P$306,SMALL(IF(($B$10:$B$306=$R20)*($L$10:$L$306="x"),ROW($P$10:$P$306)-9,""),IF(COLUMN()-23&lt;=$W20,COLUMN()-23,0))),"")</f>
        <v/>
      </c>
      <c r="AI20" s="8" t="s">
        <v>194</v>
      </c>
      <c r="AJ20" s="21" t="str">
        <f t="shared" ca="1" si="5"/>
        <v>Cường,Tươi,Trân</v>
      </c>
      <c r="AK20" s="21">
        <f t="shared" si="6"/>
        <v>5</v>
      </c>
    </row>
    <row r="21" spans="1:37" ht="27" customHeight="1">
      <c r="A21" s="37">
        <v>12</v>
      </c>
      <c r="B21" s="385" t="s">
        <v>142</v>
      </c>
      <c r="C21" s="85" t="s">
        <v>316</v>
      </c>
      <c r="D21" s="86"/>
      <c r="E21" s="86" t="s">
        <v>317</v>
      </c>
      <c r="F21" s="85" t="s">
        <v>293</v>
      </c>
      <c r="G21" s="86" t="s">
        <v>318</v>
      </c>
      <c r="H21" s="86" t="s">
        <v>319</v>
      </c>
      <c r="I21" s="408"/>
      <c r="J21" s="86" t="s">
        <v>320</v>
      </c>
      <c r="K21" s="409" t="s">
        <v>321</v>
      </c>
      <c r="L21" s="410"/>
      <c r="M21" s="411" t="s">
        <v>324</v>
      </c>
      <c r="N21" s="21" t="s">
        <v>65</v>
      </c>
      <c r="O21" s="43" t="str">
        <f t="shared" si="0"/>
        <v>Hiền</v>
      </c>
      <c r="P21" s="171" t="str">
        <f t="shared" si="1"/>
        <v/>
      </c>
      <c r="Q21" s="44">
        <v>12</v>
      </c>
      <c r="R21" s="8" t="s">
        <v>201</v>
      </c>
      <c r="S21" s="46" t="str">
        <f t="shared" ref="S21:T21" si="18">V21</f>
        <v>Lỵ, Linh, Đạt</v>
      </c>
      <c r="T21" s="21">
        <f t="shared" si="18"/>
        <v>3</v>
      </c>
      <c r="U21" s="21" t="str">
        <f t="shared" si="3"/>
        <v>Lỵ, Linh, Đạt</v>
      </c>
      <c r="V21" s="49" t="str">
        <f t="shared" si="8"/>
        <v>Lỵ, Linh, Đạt</v>
      </c>
      <c r="W21" s="21">
        <f t="shared" si="4"/>
        <v>3</v>
      </c>
      <c r="X21" s="21" t="str">
        <f t="array" ref="X21">IFERROR(INDEX($P$10:$P$306,SMALL(IF(($B$10:$B$306=$R21)*($L$10:$L$306="x"),ROW($P$10:$P$306)-9,""),IF(COLUMN()-23&lt;=$W21,COLUMN()-23,0))),"")</f>
        <v>Lỵ</v>
      </c>
      <c r="Y21" s="21" t="str">
        <f t="array" ref="Y21">IFERROR(INDEX($P$10:$P$306,SMALL(IF(($B$10:$B$306=$R21)*($L$10:$L$306="x"),ROW($P$10:$P$306)-9,""),IF(COLUMN()-23&lt;=$W21,COLUMN()-23,0))),"")</f>
        <v>Linh</v>
      </c>
      <c r="Z21" s="21" t="str">
        <f t="array" ref="Z21">IFERROR(INDEX($P$10:$P$306,SMALL(IF(($B$10:$B$306=$R21)*($L$10:$L$306="x"),ROW($P$10:$P$306)-9,""),IF(COLUMN()-23&lt;=$W21,COLUMN()-23,0))),"")</f>
        <v>Đạt</v>
      </c>
      <c r="AA21" s="21" t="str">
        <f t="array" ref="AA21">IFERROR(INDEX($P$10:$P$306,SMALL(IF(($B$10:$B$306=$R21)*($L$10:$L$306="x"),ROW($P$10:$P$306)-9,""),IF(COLUMN()-23&lt;=$W21,COLUMN()-23,0))),"")</f>
        <v/>
      </c>
      <c r="AB21" s="21" t="str">
        <f t="array" ref="AB21">IFERROR(INDEX($P$10:$P$306,SMALL(IF(($B$10:$B$306=$R21)*($L$10:$L$306="x"),ROW($P$10:$P$306)-9,""),IF(COLUMN()-23&lt;=$W21,COLUMN()-23,0))),"")</f>
        <v/>
      </c>
      <c r="AC21" s="21" t="str">
        <f t="array" ref="AC21">IFERROR(INDEX($P$10:$P$306,SMALL(IF(($B$10:$B$306=$R21)*($L$10:$L$306="x"),ROW($P$10:$P$306)-9,""),IF(COLUMN()-23&lt;=$W21,COLUMN()-23,0))),"")</f>
        <v/>
      </c>
      <c r="AD21" s="21" t="str">
        <f t="array" ref="AD21">IFERROR(INDEX($P$10:$P$306,SMALL(IF(($B$10:$B$306=$R21)*($L$10:$L$306="x"),ROW($P$10:$P$306)-9,""),IF(COLUMN()-23&lt;=$W21,COLUMN()-23,0))),"")</f>
        <v/>
      </c>
      <c r="AE21" s="21" t="str">
        <f t="array" ref="AE21">IFERROR(INDEX($P$10:$P$306,SMALL(IF(($B$10:$B$306=$R21)*($L$10:$L$306="x"),ROW($P$10:$P$306)-9,""),IF(COLUMN()-23&lt;=$W21,COLUMN()-23,0))),"")</f>
        <v/>
      </c>
      <c r="AF21" s="21" t="str">
        <f t="array" ref="AF21">IFERROR(INDEX($P$10:$P$306,SMALL(IF(($B$10:$B$306=$R21)*($L$10:$L$306="x"),ROW($P$10:$P$306)-9,""),IF(COLUMN()-23&lt;=$W21,COLUMN()-23,0))),"")</f>
        <v/>
      </c>
      <c r="AG21" s="21" t="str">
        <f t="array" ref="AG21">IFERROR(INDEX($P$10:$P$306,SMALL(IF(($B$10:$B$306=$R21)*($L$10:$L$306="x"),ROW($P$10:$P$306)-9,""),IF(COLUMN()-23&lt;=$W21,COLUMN()-23,0))),"")</f>
        <v/>
      </c>
      <c r="AH21" s="84" t="str">
        <f t="array" ref="AH21">IFERROR(INDEX($P$10:$P$306,SMALL(IF(($B$10:$B$306=$R21)*($L$10:$L$306="x"),ROW($P$10:$P$306)-9,""),IF(COLUMN()-23&lt;=$W21,COLUMN()-23,0))),"")</f>
        <v/>
      </c>
      <c r="AI21" s="8" t="s">
        <v>201</v>
      </c>
      <c r="AJ21" s="21" t="str">
        <f t="shared" ca="1" si="5"/>
        <v>Cường,Tươi,Trân</v>
      </c>
      <c r="AK21" s="21">
        <f t="shared" si="6"/>
        <v>3</v>
      </c>
    </row>
    <row r="22" spans="1:37" ht="27" customHeight="1">
      <c r="A22" s="37">
        <v>13</v>
      </c>
      <c r="B22" s="385" t="s">
        <v>142</v>
      </c>
      <c r="C22" s="85" t="s">
        <v>322</v>
      </c>
      <c r="D22" s="86"/>
      <c r="E22" s="86" t="s">
        <v>323</v>
      </c>
      <c r="F22" s="85" t="s">
        <v>293</v>
      </c>
      <c r="G22" s="86" t="s">
        <v>324</v>
      </c>
      <c r="H22" s="86"/>
      <c r="I22" s="408"/>
      <c r="J22" s="86" t="s">
        <v>320</v>
      </c>
      <c r="K22" s="409" t="s">
        <v>325</v>
      </c>
      <c r="L22" s="410"/>
      <c r="M22" s="411" t="s">
        <v>324</v>
      </c>
      <c r="N22" s="21" t="s">
        <v>65</v>
      </c>
      <c r="O22" s="43" t="str">
        <f t="shared" si="0"/>
        <v>Thật</v>
      </c>
      <c r="P22" s="171" t="str">
        <f t="shared" si="1"/>
        <v/>
      </c>
      <c r="Q22" s="44">
        <v>13</v>
      </c>
      <c r="R22" s="8" t="s">
        <v>213</v>
      </c>
      <c r="S22" s="46" t="str">
        <f t="shared" ref="S22:T22" si="19">V22</f>
        <v>Thạnh, Nhum, Đạt, Em, Lai</v>
      </c>
      <c r="T22" s="21">
        <f t="shared" si="19"/>
        <v>5</v>
      </c>
      <c r="U22" s="21" t="str">
        <f t="shared" si="3"/>
        <v>Thạnh, Nhum, Đạt, Em, Lai</v>
      </c>
      <c r="V22" s="49" t="str">
        <f t="shared" si="8"/>
        <v>Thạnh, Nhum, Đạt, Em, Lai</v>
      </c>
      <c r="W22" s="21">
        <f t="shared" si="4"/>
        <v>5</v>
      </c>
      <c r="X22" s="21" t="str">
        <f t="array" ref="X22">IFERROR(INDEX($P$10:$P$306,SMALL(IF(($B$10:$B$306=$R22)*($L$10:$L$306="x"),ROW($P$10:$P$306)-9,""),IF(COLUMN()-23&lt;=$W22,COLUMN()-23,0))),"")</f>
        <v>Thạnh</v>
      </c>
      <c r="Y22" s="21" t="str">
        <f t="array" ref="Y22">IFERROR(INDEX($P$10:$P$306,SMALL(IF(($B$10:$B$306=$R22)*($L$10:$L$306="x"),ROW($P$10:$P$306)-9,""),IF(COLUMN()-23&lt;=$W22,COLUMN()-23,0))),"")</f>
        <v>Nhum</v>
      </c>
      <c r="Z22" s="21" t="str">
        <f t="array" ref="Z22">IFERROR(INDEX($P$10:$P$306,SMALL(IF(($B$10:$B$306=$R22)*($L$10:$L$306="x"),ROW($P$10:$P$306)-9,""),IF(COLUMN()-23&lt;=$W22,COLUMN()-23,0))),"")</f>
        <v>Đạt</v>
      </c>
      <c r="AA22" s="21" t="str">
        <f t="array" ref="AA22">IFERROR(INDEX($P$10:$P$306,SMALL(IF(($B$10:$B$306=$R22)*($L$10:$L$306="x"),ROW($P$10:$P$306)-9,""),IF(COLUMN()-23&lt;=$W22,COLUMN()-23,0))),"")</f>
        <v>Em</v>
      </c>
      <c r="AB22" s="21" t="str">
        <f t="array" ref="AB22">IFERROR(INDEX($P$10:$P$306,SMALL(IF(($B$10:$B$306=$R22)*($L$10:$L$306="x"),ROW($P$10:$P$306)-9,""),IF(COLUMN()-23&lt;=$W22,COLUMN()-23,0))),"")</f>
        <v>Lai</v>
      </c>
      <c r="AC22" s="21" t="str">
        <f t="array" ref="AC22">IFERROR(INDEX($P$10:$P$306,SMALL(IF(($B$10:$B$306=$R22)*($L$10:$L$306="x"),ROW($P$10:$P$306)-9,""),IF(COLUMN()-23&lt;=$W22,COLUMN()-23,0))),"")</f>
        <v/>
      </c>
      <c r="AD22" s="21" t="str">
        <f t="array" ref="AD22">IFERROR(INDEX($P$10:$P$306,SMALL(IF(($B$10:$B$306=$R22)*($L$10:$L$306="x"),ROW($P$10:$P$306)-9,""),IF(COLUMN()-23&lt;=$W22,COLUMN()-23,0))),"")</f>
        <v/>
      </c>
      <c r="AE22" s="21" t="str">
        <f t="array" ref="AE22">IFERROR(INDEX($P$10:$P$306,SMALL(IF(($B$10:$B$306=$R22)*($L$10:$L$306="x"),ROW($P$10:$P$306)-9,""),IF(COLUMN()-23&lt;=$W22,COLUMN()-23,0))),"")</f>
        <v/>
      </c>
      <c r="AF22" s="21" t="str">
        <f t="array" ref="AF22">IFERROR(INDEX($P$10:$P$306,SMALL(IF(($B$10:$B$306=$R22)*($L$10:$L$306="x"),ROW($P$10:$P$306)-9,""),IF(COLUMN()-23&lt;=$W22,COLUMN()-23,0))),"")</f>
        <v/>
      </c>
      <c r="AG22" s="21" t="str">
        <f t="array" ref="AG22">IFERROR(INDEX($P$10:$P$306,SMALL(IF(($B$10:$B$306=$R22)*($L$10:$L$306="x"),ROW($P$10:$P$306)-9,""),IF(COLUMN()-23&lt;=$W22,COLUMN()-23,0))),"")</f>
        <v/>
      </c>
      <c r="AH22" s="84" t="str">
        <f t="array" ref="AH22">IFERROR(INDEX($P$10:$P$306,SMALL(IF(($B$10:$B$306=$R22)*($L$10:$L$306="x"),ROW($P$10:$P$306)-9,""),IF(COLUMN()-23&lt;=$W22,COLUMN()-23,0))),"")</f>
        <v/>
      </c>
      <c r="AI22" s="8" t="s">
        <v>213</v>
      </c>
      <c r="AJ22" s="21" t="str">
        <f t="shared" ca="1" si="5"/>
        <v>Cường,Tươi,Trân</v>
      </c>
      <c r="AK22" s="21">
        <f t="shared" si="6"/>
        <v>5</v>
      </c>
    </row>
    <row r="23" spans="1:37" ht="27" customHeight="1">
      <c r="A23" s="37">
        <v>14</v>
      </c>
      <c r="B23" s="385" t="s">
        <v>142</v>
      </c>
      <c r="C23" s="85" t="s">
        <v>326</v>
      </c>
      <c r="D23" s="86"/>
      <c r="E23" s="86">
        <v>1987</v>
      </c>
      <c r="F23" s="85" t="s">
        <v>327</v>
      </c>
      <c r="G23" s="86" t="s">
        <v>328</v>
      </c>
      <c r="H23" s="86" t="s">
        <v>329</v>
      </c>
      <c r="I23" s="408"/>
      <c r="J23" s="86"/>
      <c r="K23" s="409" t="s">
        <v>330</v>
      </c>
      <c r="L23" s="410"/>
      <c r="M23" s="411" t="s">
        <v>263</v>
      </c>
      <c r="N23" s="21" t="s">
        <v>65</v>
      </c>
      <c r="O23" s="43" t="str">
        <f t="shared" si="0"/>
        <v>Loan</v>
      </c>
      <c r="P23" s="171" t="str">
        <f t="shared" si="1"/>
        <v/>
      </c>
      <c r="Q23" s="44">
        <v>14</v>
      </c>
      <c r="R23" s="8" t="s">
        <v>220</v>
      </c>
      <c r="S23" s="46" t="str">
        <f t="shared" ref="S23:T23" si="20">V23</f>
        <v>Kha</v>
      </c>
      <c r="T23" s="21">
        <f t="shared" si="20"/>
        <v>1</v>
      </c>
      <c r="U23" s="21" t="str">
        <f t="shared" si="3"/>
        <v>Kha</v>
      </c>
      <c r="V23" s="49" t="str">
        <f t="shared" si="8"/>
        <v>Kha</v>
      </c>
      <c r="W23" s="21">
        <f t="shared" si="4"/>
        <v>1</v>
      </c>
      <c r="X23" s="21" t="str">
        <f t="array" ref="X23">IFERROR(INDEX($P$10:$P$306,SMALL(IF(($B$10:$B$306=$R23)*($L$10:$L$306="x"),ROW($P$10:$P$306)-9,""),IF(COLUMN()-23&lt;=$W23,COLUMN()-23,0))),"")</f>
        <v>Kha</v>
      </c>
      <c r="Y23" s="21" t="str">
        <f t="array" ref="Y23">IFERROR(INDEX($P$10:$P$306,SMALL(IF(($B$10:$B$306=$R23)*($L$10:$L$306="x"),ROW($P$10:$P$306)-9,""),IF(COLUMN()-23&lt;=$W23,COLUMN()-23,0))),"")</f>
        <v/>
      </c>
      <c r="Z23" s="21" t="str">
        <f t="array" ref="Z23">IFERROR(INDEX($P$10:$P$306,SMALL(IF(($B$10:$B$306=$R23)*($L$10:$L$306="x"),ROW($P$10:$P$306)-9,""),IF(COLUMN()-23&lt;=$W23,COLUMN()-23,0))),"")</f>
        <v/>
      </c>
      <c r="AA23" s="21" t="str">
        <f t="array" ref="AA23">IFERROR(INDEX($P$10:$P$306,SMALL(IF(($B$10:$B$306=$R23)*($L$10:$L$306="x"),ROW($P$10:$P$306)-9,""),IF(COLUMN()-23&lt;=$W23,COLUMN()-23,0))),"")</f>
        <v/>
      </c>
      <c r="AB23" s="21" t="str">
        <f t="array" ref="AB23">IFERROR(INDEX($P$10:$P$306,SMALL(IF(($B$10:$B$306=$R23)*($L$10:$L$306="x"),ROW($P$10:$P$306)-9,""),IF(COLUMN()-23&lt;=$W23,COLUMN()-23,0))),"")</f>
        <v/>
      </c>
      <c r="AC23" s="21" t="str">
        <f t="array" ref="AC23">IFERROR(INDEX($P$10:$P$306,SMALL(IF(($B$10:$B$306=$R23)*($L$10:$L$306="x"),ROW($P$10:$P$306)-9,""),IF(COLUMN()-23&lt;=$W23,COLUMN()-23,0))),"")</f>
        <v/>
      </c>
      <c r="AD23" s="21" t="str">
        <f t="array" ref="AD23">IFERROR(INDEX($P$10:$P$306,SMALL(IF(($B$10:$B$306=$R23)*($L$10:$L$306="x"),ROW($P$10:$P$306)-9,""),IF(COLUMN()-23&lt;=$W23,COLUMN()-23,0))),"")</f>
        <v/>
      </c>
      <c r="AE23" s="21" t="str">
        <f t="array" ref="AE23">IFERROR(INDEX($P$10:$P$306,SMALL(IF(($B$10:$B$306=$R23)*($L$10:$L$306="x"),ROW($P$10:$P$306)-9,""),IF(COLUMN()-23&lt;=$W23,COLUMN()-23,0))),"")</f>
        <v/>
      </c>
      <c r="AF23" s="21" t="str">
        <f t="array" ref="AF23">IFERROR(INDEX($P$10:$P$306,SMALL(IF(($B$10:$B$306=$R23)*($L$10:$L$306="x"),ROW($P$10:$P$306)-9,""),IF(COLUMN()-23&lt;=$W23,COLUMN()-23,0))),"")</f>
        <v/>
      </c>
      <c r="AG23" s="21" t="str">
        <f t="array" ref="AG23">IFERROR(INDEX($P$10:$P$306,SMALL(IF(($B$10:$B$306=$R23)*($L$10:$L$306="x"),ROW($P$10:$P$306)-9,""),IF(COLUMN()-23&lt;=$W23,COLUMN()-23,0))),"")</f>
        <v/>
      </c>
      <c r="AH23" s="84" t="str">
        <f t="array" ref="AH23">IFERROR(INDEX($P$10:$P$306,SMALL(IF(($B$10:$B$306=$R23)*($L$10:$L$306="x"),ROW($P$10:$P$306)-9,""),IF(COLUMN()-23&lt;=$W23,COLUMN()-23,0))),"")</f>
        <v/>
      </c>
      <c r="AI23" s="8" t="s">
        <v>220</v>
      </c>
      <c r="AJ23" s="21" t="str">
        <f t="shared" ca="1" si="5"/>
        <v>Cường,Tươi,Trân</v>
      </c>
      <c r="AK23" s="21">
        <f t="shared" si="6"/>
        <v>1</v>
      </c>
    </row>
    <row r="24" spans="1:37" ht="27" customHeight="1" thickBot="1">
      <c r="A24" s="37">
        <v>15</v>
      </c>
      <c r="B24" s="386" t="s">
        <v>142</v>
      </c>
      <c r="C24" s="99" t="s">
        <v>331</v>
      </c>
      <c r="D24" s="100"/>
      <c r="E24" s="100">
        <v>2011</v>
      </c>
      <c r="F24" s="99" t="s">
        <v>327</v>
      </c>
      <c r="G24" s="100" t="s">
        <v>144</v>
      </c>
      <c r="H24" s="100"/>
      <c r="I24" s="412"/>
      <c r="J24" s="100"/>
      <c r="K24" s="413" t="s">
        <v>332</v>
      </c>
      <c r="L24" s="414"/>
      <c r="M24" s="415" t="s">
        <v>263</v>
      </c>
      <c r="N24" s="21" t="s">
        <v>65</v>
      </c>
      <c r="O24" s="43" t="str">
        <f t="shared" si="0"/>
        <v>Linh</v>
      </c>
      <c r="P24" s="171" t="str">
        <f t="shared" si="1"/>
        <v/>
      </c>
      <c r="Q24" s="44">
        <v>15</v>
      </c>
      <c r="R24" s="8" t="s">
        <v>226</v>
      </c>
      <c r="S24" s="46" t="str">
        <f t="shared" ref="S24:T24" si="21">V24</f>
        <v>Mạnh, Tuyết, Thuận, Hòa, Thảo, Xuyến</v>
      </c>
      <c r="T24" s="21">
        <f t="shared" si="21"/>
        <v>6</v>
      </c>
      <c r="U24" s="21" t="str">
        <f t="shared" si="3"/>
        <v>Mạnh, Tuyết, Thuận, Hòa, Thảo, Xuyến</v>
      </c>
      <c r="V24" s="49" t="str">
        <f t="shared" si="8"/>
        <v>Mạnh, Tuyết, Thuận, Hòa, Thảo, Xuyến</v>
      </c>
      <c r="W24" s="21">
        <f t="shared" si="4"/>
        <v>6</v>
      </c>
      <c r="X24" s="21" t="str">
        <f t="array" ref="X24">IFERROR(INDEX($P$10:$P$306,SMALL(IF(($B$10:$B$306=$R24)*($L$10:$L$306="x"),ROW($P$10:$P$306)-9,""),IF(COLUMN()-23&lt;=$W24,COLUMN()-23,0))),"")</f>
        <v>Mạnh</v>
      </c>
      <c r="Y24" s="21" t="str">
        <f t="array" ref="Y24">IFERROR(INDEX($P$10:$P$306,SMALL(IF(($B$10:$B$306=$R24)*($L$10:$L$306="x"),ROW($P$10:$P$306)-9,""),IF(COLUMN()-23&lt;=$W24,COLUMN()-23,0))),"")</f>
        <v>Tuyết</v>
      </c>
      <c r="Z24" s="21" t="str">
        <f t="array" ref="Z24">IFERROR(INDEX($P$10:$P$306,SMALL(IF(($B$10:$B$306=$R24)*($L$10:$L$306="x"),ROW($P$10:$P$306)-9,""),IF(COLUMN()-23&lt;=$W24,COLUMN()-23,0))),"")</f>
        <v>Thuận</v>
      </c>
      <c r="AA24" s="21" t="str">
        <f t="array" ref="AA24">IFERROR(INDEX($P$10:$P$306,SMALL(IF(($B$10:$B$306=$R24)*($L$10:$L$306="x"),ROW($P$10:$P$306)-9,""),IF(COLUMN()-23&lt;=$W24,COLUMN()-23,0))),"")</f>
        <v>Hòa</v>
      </c>
      <c r="AB24" s="21" t="str">
        <f t="array" ref="AB24">IFERROR(INDEX($P$10:$P$306,SMALL(IF(($B$10:$B$306=$R24)*($L$10:$L$306="x"),ROW($P$10:$P$306)-9,""),IF(COLUMN()-23&lt;=$W24,COLUMN()-23,0))),"")</f>
        <v>Thảo</v>
      </c>
      <c r="AC24" s="21" t="str">
        <f t="array" ref="AC24">IFERROR(INDEX($P$10:$P$306,SMALL(IF(($B$10:$B$306=$R24)*($L$10:$L$306="x"),ROW($P$10:$P$306)-9,""),IF(COLUMN()-23&lt;=$W24,COLUMN()-23,0))),"")</f>
        <v>Xuyến</v>
      </c>
      <c r="AD24" s="21" t="str">
        <f t="array" ref="AD24">IFERROR(INDEX($P$10:$P$306,SMALL(IF(($B$10:$B$306=$R24)*($L$10:$L$306="x"),ROW($P$10:$P$306)-9,""),IF(COLUMN()-23&lt;=$W24,COLUMN()-23,0))),"")</f>
        <v/>
      </c>
      <c r="AE24" s="21" t="str">
        <f t="array" ref="AE24">IFERROR(INDEX($P$10:$P$306,SMALL(IF(($B$10:$B$306=$R24)*($L$10:$L$306="x"),ROW($P$10:$P$306)-9,""),IF(COLUMN()-23&lt;=$W24,COLUMN()-23,0))),"")</f>
        <v/>
      </c>
      <c r="AF24" s="21" t="str">
        <f t="array" ref="AF24">IFERROR(INDEX($P$10:$P$306,SMALL(IF(($B$10:$B$306=$R24)*($L$10:$L$306="x"),ROW($P$10:$P$306)-9,""),IF(COLUMN()-23&lt;=$W24,COLUMN()-23,0))),"")</f>
        <v/>
      </c>
      <c r="AG24" s="21" t="str">
        <f t="array" ref="AG24">IFERROR(INDEX($P$10:$P$306,SMALL(IF(($B$10:$B$306=$R24)*($L$10:$L$306="x"),ROW($P$10:$P$306)-9,""),IF(COLUMN()-23&lt;=$W24,COLUMN()-23,0))),"")</f>
        <v/>
      </c>
      <c r="AH24" s="84" t="str">
        <f t="array" ref="AH24">IFERROR(INDEX($P$10:$P$306,SMALL(IF(($B$10:$B$306=$R24)*($L$10:$L$306="x"),ROW($P$10:$P$306)-9,""),IF(COLUMN()-23&lt;=$W24,COLUMN()-23,0))),"")</f>
        <v/>
      </c>
      <c r="AI24" s="8" t="s">
        <v>226</v>
      </c>
      <c r="AJ24" s="21" t="str">
        <f t="shared" ca="1" si="5"/>
        <v>Cường,Tươi,Trân</v>
      </c>
      <c r="AK24" s="21">
        <f t="shared" si="6"/>
        <v>6</v>
      </c>
    </row>
    <row r="25" spans="1:37" ht="27" customHeight="1">
      <c r="A25" s="37">
        <v>16</v>
      </c>
      <c r="B25" s="387" t="s">
        <v>147</v>
      </c>
      <c r="C25" s="112" t="s">
        <v>336</v>
      </c>
      <c r="D25" s="113">
        <v>1960</v>
      </c>
      <c r="E25" s="113"/>
      <c r="F25" s="112" t="s">
        <v>337</v>
      </c>
      <c r="G25" s="113" t="s">
        <v>338</v>
      </c>
      <c r="H25" s="113" t="s">
        <v>339</v>
      </c>
      <c r="I25" s="416"/>
      <c r="J25" s="113"/>
      <c r="K25" s="417" t="s">
        <v>63</v>
      </c>
      <c r="L25" s="418" t="s">
        <v>64</v>
      </c>
      <c r="M25" s="419"/>
      <c r="N25" s="21" t="s">
        <v>65</v>
      </c>
      <c r="O25" s="43" t="str">
        <f t="shared" si="0"/>
        <v>Quý</v>
      </c>
      <c r="P25" s="171" t="str">
        <f t="shared" si="1"/>
        <v>Quý</v>
      </c>
      <c r="Q25" s="44">
        <v>16</v>
      </c>
      <c r="R25" s="8" t="s">
        <v>234</v>
      </c>
      <c r="S25" s="46" t="str">
        <f t="shared" ref="S25:T25" si="22">V25</f>
        <v>Trí, Lan</v>
      </c>
      <c r="T25" s="21">
        <f t="shared" si="22"/>
        <v>2</v>
      </c>
      <c r="U25" s="21" t="str">
        <f t="shared" si="3"/>
        <v>Trí, Lan</v>
      </c>
      <c r="V25" s="49" t="str">
        <f t="shared" si="8"/>
        <v>Trí, Lan</v>
      </c>
      <c r="W25" s="21">
        <f t="shared" si="4"/>
        <v>2</v>
      </c>
      <c r="X25" s="21" t="str">
        <f t="array" ref="X25">IFERROR(INDEX($P$10:$P$306,SMALL(IF(($B$10:$B$306=$R25)*($L$10:$L$306="x"),ROW($P$10:$P$306)-9,""),IF(COLUMN()-23&lt;=$W25,COLUMN()-23,0))),"")</f>
        <v>Trí</v>
      </c>
      <c r="Y25" s="21" t="str">
        <f t="array" ref="Y25">IFERROR(INDEX($P$10:$P$306,SMALL(IF(($B$10:$B$306=$R25)*($L$10:$L$306="x"),ROW($P$10:$P$306)-9,""),IF(COLUMN()-23&lt;=$W25,COLUMN()-23,0))),"")</f>
        <v>Lan</v>
      </c>
      <c r="Z25" s="21" t="str">
        <f t="array" ref="Z25">IFERROR(INDEX($P$10:$P$306,SMALL(IF(($B$10:$B$306=$R25)*($L$10:$L$306="x"),ROW($P$10:$P$306)-9,""),IF(COLUMN()-23&lt;=$W25,COLUMN()-23,0))),"")</f>
        <v/>
      </c>
      <c r="AA25" s="21" t="str">
        <f t="array" ref="AA25">IFERROR(INDEX($P$10:$P$306,SMALL(IF(($B$10:$B$306=$R25)*($L$10:$L$306="x"),ROW($P$10:$P$306)-9,""),IF(COLUMN()-23&lt;=$W25,COLUMN()-23,0))),"")</f>
        <v/>
      </c>
      <c r="AB25" s="21" t="str">
        <f t="array" ref="AB25">IFERROR(INDEX($P$10:$P$306,SMALL(IF(($B$10:$B$306=$R25)*($L$10:$L$306="x"),ROW($P$10:$P$306)-9,""),IF(COLUMN()-23&lt;=$W25,COLUMN()-23,0))),"")</f>
        <v/>
      </c>
      <c r="AC25" s="21" t="str">
        <f t="array" ref="AC25">IFERROR(INDEX($P$10:$P$306,SMALL(IF(($B$10:$B$306=$R25)*($L$10:$L$306="x"),ROW($P$10:$P$306)-9,""),IF(COLUMN()-23&lt;=$W25,COLUMN()-23,0))),"")</f>
        <v/>
      </c>
      <c r="AD25" s="21" t="str">
        <f t="array" ref="AD25">IFERROR(INDEX($P$10:$P$306,SMALL(IF(($B$10:$B$306=$R25)*($L$10:$L$306="x"),ROW($P$10:$P$306)-9,""),IF(COLUMN()-23&lt;=$W25,COLUMN()-23,0))),"")</f>
        <v/>
      </c>
      <c r="AE25" s="21" t="str">
        <f t="array" ref="AE25">IFERROR(INDEX($P$10:$P$306,SMALL(IF(($B$10:$B$306=$R25)*($L$10:$L$306="x"),ROW($P$10:$P$306)-9,""),IF(COLUMN()-23&lt;=$W25,COLUMN()-23,0))),"")</f>
        <v/>
      </c>
      <c r="AF25" s="21" t="str">
        <f t="array" ref="AF25">IFERROR(INDEX($P$10:$P$306,SMALL(IF(($B$10:$B$306=$R25)*($L$10:$L$306="x"),ROW($P$10:$P$306)-9,""),IF(COLUMN()-23&lt;=$W25,COLUMN()-23,0))),"")</f>
        <v/>
      </c>
      <c r="AG25" s="21" t="str">
        <f t="array" ref="AG25">IFERROR(INDEX($P$10:$P$306,SMALL(IF(($B$10:$B$306=$R25)*($L$10:$L$306="x"),ROW($P$10:$P$306)-9,""),IF(COLUMN()-23&lt;=$W25,COLUMN()-23,0))),"")</f>
        <v/>
      </c>
      <c r="AH25" s="84" t="str">
        <f t="array" ref="AH25">IFERROR(INDEX($P$10:$P$306,SMALL(IF(($B$10:$B$306=$R25)*($L$10:$L$306="x"),ROW($P$10:$P$306)-9,""),IF(COLUMN()-23&lt;=$W25,COLUMN()-23,0))),"")</f>
        <v/>
      </c>
      <c r="AI25" s="8" t="s">
        <v>234</v>
      </c>
      <c r="AJ25" s="21" t="str">
        <f t="shared" ca="1" si="5"/>
        <v>Cường,Tươi,Trân</v>
      </c>
      <c r="AK25" s="21">
        <f t="shared" si="6"/>
        <v>2</v>
      </c>
    </row>
    <row r="26" spans="1:37" ht="27" customHeight="1">
      <c r="A26" s="37">
        <v>17</v>
      </c>
      <c r="B26" s="385" t="s">
        <v>147</v>
      </c>
      <c r="C26" s="119" t="s">
        <v>146</v>
      </c>
      <c r="D26" s="121"/>
      <c r="E26" s="121">
        <v>1965</v>
      </c>
      <c r="F26" s="119" t="s">
        <v>337</v>
      </c>
      <c r="G26" s="121" t="s">
        <v>342</v>
      </c>
      <c r="H26" s="121" t="s">
        <v>343</v>
      </c>
      <c r="I26" s="420" t="s">
        <v>344</v>
      </c>
      <c r="J26" s="121"/>
      <c r="K26" s="421" t="s">
        <v>114</v>
      </c>
      <c r="L26" s="422" t="s">
        <v>64</v>
      </c>
      <c r="M26" s="423"/>
      <c r="N26" s="21" t="s">
        <v>65</v>
      </c>
      <c r="O26" s="43" t="str">
        <f t="shared" si="0"/>
        <v>Lệ</v>
      </c>
      <c r="P26" s="171" t="str">
        <f t="shared" si="1"/>
        <v>Lệ</v>
      </c>
      <c r="Q26" s="44">
        <v>17</v>
      </c>
      <c r="R26" s="8" t="s">
        <v>241</v>
      </c>
      <c r="S26" s="46" t="str">
        <f t="shared" ref="S26:T26" si="23">V26</f>
        <v>Thịnh</v>
      </c>
      <c r="T26" s="21">
        <f t="shared" si="23"/>
        <v>1</v>
      </c>
      <c r="U26" s="21" t="str">
        <f t="shared" si="3"/>
        <v>Thịnh</v>
      </c>
      <c r="V26" s="49" t="str">
        <f t="shared" si="8"/>
        <v>Thịnh</v>
      </c>
      <c r="W26" s="21">
        <f t="shared" si="4"/>
        <v>1</v>
      </c>
      <c r="X26" s="21" t="str">
        <f t="array" ref="X26">IFERROR(INDEX($P$10:$P$306,SMALL(IF(($B$10:$B$306=$R26)*($L$10:$L$306="x"),ROW($P$10:$P$306)-9,""),IF(COLUMN()-23&lt;=$W26,COLUMN()-23,0))),"")</f>
        <v>Thịnh</v>
      </c>
      <c r="Y26" s="21" t="str">
        <f t="array" ref="Y26">IFERROR(INDEX($P$10:$P$306,SMALL(IF(($B$10:$B$306=$R26)*($L$10:$L$306="x"),ROW($P$10:$P$306)-9,""),IF(COLUMN()-23&lt;=$W26,COLUMN()-23,0))),"")</f>
        <v/>
      </c>
      <c r="Z26" s="21" t="str">
        <f t="array" ref="Z26">IFERROR(INDEX($P$10:$P$306,SMALL(IF(($B$10:$B$306=$R26)*($L$10:$L$306="x"),ROW($P$10:$P$306)-9,""),IF(COLUMN()-23&lt;=$W26,COLUMN()-23,0))),"")</f>
        <v/>
      </c>
      <c r="AA26" s="21" t="str">
        <f t="array" ref="AA26">IFERROR(INDEX($P$10:$P$306,SMALL(IF(($B$10:$B$306=$R26)*($L$10:$L$306="x"),ROW($P$10:$P$306)-9,""),IF(COLUMN()-23&lt;=$W26,COLUMN()-23,0))),"")</f>
        <v/>
      </c>
      <c r="AB26" s="21" t="str">
        <f t="array" ref="AB26">IFERROR(INDEX($P$10:$P$306,SMALL(IF(($B$10:$B$306=$R26)*($L$10:$L$306="x"),ROW($P$10:$P$306)-9,""),IF(COLUMN()-23&lt;=$W26,COLUMN()-23,0))),"")</f>
        <v/>
      </c>
      <c r="AC26" s="21" t="str">
        <f t="array" ref="AC26">IFERROR(INDEX($P$10:$P$306,SMALL(IF(($B$10:$B$306=$R26)*($L$10:$L$306="x"),ROW($P$10:$P$306)-9,""),IF(COLUMN()-23&lt;=$W26,COLUMN()-23,0))),"")</f>
        <v/>
      </c>
      <c r="AD26" s="21" t="str">
        <f t="array" ref="AD26">IFERROR(INDEX($P$10:$P$306,SMALL(IF(($B$10:$B$306=$R26)*($L$10:$L$306="x"),ROW($P$10:$P$306)-9,""),IF(COLUMN()-23&lt;=$W26,COLUMN()-23,0))),"")</f>
        <v/>
      </c>
      <c r="AE26" s="21" t="str">
        <f t="array" ref="AE26">IFERROR(INDEX($P$10:$P$306,SMALL(IF(($B$10:$B$306=$R26)*($L$10:$L$306="x"),ROW($P$10:$P$306)-9,""),IF(COLUMN()-23&lt;=$W26,COLUMN()-23,0))),"")</f>
        <v/>
      </c>
      <c r="AF26" s="21" t="str">
        <f t="array" ref="AF26">IFERROR(INDEX($P$10:$P$306,SMALL(IF(($B$10:$B$306=$R26)*($L$10:$L$306="x"),ROW($P$10:$P$306)-9,""),IF(COLUMN()-23&lt;=$W26,COLUMN()-23,0))),"")</f>
        <v/>
      </c>
      <c r="AG26" s="21" t="str">
        <f t="array" ref="AG26">IFERROR(INDEX($P$10:$P$306,SMALL(IF(($B$10:$B$306=$R26)*($L$10:$L$306="x"),ROW($P$10:$P$306)-9,""),IF(COLUMN()-23&lt;=$W26,COLUMN()-23,0))),"")</f>
        <v/>
      </c>
      <c r="AH26" s="84" t="str">
        <f t="array" ref="AH26">IFERROR(INDEX($P$10:$P$306,SMALL(IF(($B$10:$B$306=$R26)*($L$10:$L$306="x"),ROW($P$10:$P$306)-9,""),IF(COLUMN()-23&lt;=$W26,COLUMN()-23,0))),"")</f>
        <v/>
      </c>
      <c r="AI26" s="8" t="s">
        <v>241</v>
      </c>
      <c r="AJ26" s="21" t="str">
        <f t="shared" ca="1" si="5"/>
        <v>Cường,Tươi,Trân</v>
      </c>
      <c r="AK26" s="21">
        <f t="shared" si="6"/>
        <v>1</v>
      </c>
    </row>
    <row r="27" spans="1:37" ht="27" customHeight="1">
      <c r="A27" s="37">
        <v>18</v>
      </c>
      <c r="B27" s="385" t="s">
        <v>147</v>
      </c>
      <c r="C27" s="119" t="s">
        <v>352</v>
      </c>
      <c r="D27" s="121">
        <v>1992</v>
      </c>
      <c r="E27" s="121"/>
      <c r="F27" s="119" t="s">
        <v>337</v>
      </c>
      <c r="G27" s="121" t="s">
        <v>353</v>
      </c>
      <c r="H27" s="121" t="s">
        <v>354</v>
      </c>
      <c r="I27" s="420" t="s">
        <v>854</v>
      </c>
      <c r="J27" s="121"/>
      <c r="K27" s="421" t="s">
        <v>145</v>
      </c>
      <c r="L27" s="422" t="s">
        <v>64</v>
      </c>
      <c r="M27" s="423"/>
      <c r="N27" s="21" t="s">
        <v>65</v>
      </c>
      <c r="O27" s="43" t="str">
        <f t="shared" si="0"/>
        <v>Quốc</v>
      </c>
      <c r="P27" s="171" t="str">
        <f t="shared" si="1"/>
        <v>Quốc</v>
      </c>
      <c r="Q27" s="44">
        <v>18</v>
      </c>
      <c r="R27" s="8" t="s">
        <v>247</v>
      </c>
      <c r="S27" s="46" t="str">
        <f t="shared" ref="S27:T27" si="24">V27</f>
        <v>Minh, Diện, Đầy</v>
      </c>
      <c r="T27" s="21">
        <f t="shared" si="24"/>
        <v>3</v>
      </c>
      <c r="U27" s="21" t="str">
        <f t="shared" si="3"/>
        <v>Minh, Diện, Đầy</v>
      </c>
      <c r="V27" s="49" t="str">
        <f t="shared" si="8"/>
        <v>Minh, Diện, Đầy</v>
      </c>
      <c r="W27" s="21">
        <f t="shared" si="4"/>
        <v>3</v>
      </c>
      <c r="X27" s="21" t="str">
        <f t="array" ref="X27">IFERROR(INDEX($P$10:$P$306,SMALL(IF(($B$10:$B$306=$R27)*($L$10:$L$306="x"),ROW($P$10:$P$306)-9,""),IF(COLUMN()-23&lt;=$W27,COLUMN()-23,0))),"")</f>
        <v>Minh</v>
      </c>
      <c r="Y27" s="21" t="str">
        <f t="array" ref="Y27">IFERROR(INDEX($P$10:$P$306,SMALL(IF(($B$10:$B$306=$R27)*($L$10:$L$306="x"),ROW($P$10:$P$306)-9,""),IF(COLUMN()-23&lt;=$W27,COLUMN()-23,0))),"")</f>
        <v>Diện</v>
      </c>
      <c r="Z27" s="21" t="str">
        <f t="array" ref="Z27">IFERROR(INDEX($P$10:$P$306,SMALL(IF(($B$10:$B$306=$R27)*($L$10:$L$306="x"),ROW($P$10:$P$306)-9,""),IF(COLUMN()-23&lt;=$W27,COLUMN()-23,0))),"")</f>
        <v>Đầy</v>
      </c>
      <c r="AA27" s="21" t="str">
        <f t="array" ref="AA27">IFERROR(INDEX($P$10:$P$306,SMALL(IF(($B$10:$B$306=$R27)*($L$10:$L$306="x"),ROW($P$10:$P$306)-9,""),IF(COLUMN()-23&lt;=$W27,COLUMN()-23,0))),"")</f>
        <v/>
      </c>
      <c r="AB27" s="21" t="str">
        <f t="array" ref="AB27">IFERROR(INDEX($P$10:$P$306,SMALL(IF(($B$10:$B$306=$R27)*($L$10:$L$306="x"),ROW($P$10:$P$306)-9,""),IF(COLUMN()-23&lt;=$W27,COLUMN()-23,0))),"")</f>
        <v/>
      </c>
      <c r="AC27" s="21" t="str">
        <f t="array" ref="AC27">IFERROR(INDEX($P$10:$P$306,SMALL(IF(($B$10:$B$306=$R27)*($L$10:$L$306="x"),ROW($P$10:$P$306)-9,""),IF(COLUMN()-23&lt;=$W27,COLUMN()-23,0))),"")</f>
        <v/>
      </c>
      <c r="AD27" s="21" t="str">
        <f t="array" ref="AD27">IFERROR(INDEX($P$10:$P$306,SMALL(IF(($B$10:$B$306=$R27)*($L$10:$L$306="x"),ROW($P$10:$P$306)-9,""),IF(COLUMN()-23&lt;=$W27,COLUMN()-23,0))),"")</f>
        <v/>
      </c>
      <c r="AE27" s="21" t="str">
        <f t="array" ref="AE27">IFERROR(INDEX($P$10:$P$306,SMALL(IF(($B$10:$B$306=$R27)*($L$10:$L$306="x"),ROW($P$10:$P$306)-9,""),IF(COLUMN()-23&lt;=$W27,COLUMN()-23,0))),"")</f>
        <v/>
      </c>
      <c r="AF27" s="21" t="str">
        <f t="array" ref="AF27">IFERROR(INDEX($P$10:$P$306,SMALL(IF(($B$10:$B$306=$R27)*($L$10:$L$306="x"),ROW($P$10:$P$306)-9,""),IF(COLUMN()-23&lt;=$W27,COLUMN()-23,0))),"")</f>
        <v/>
      </c>
      <c r="AG27" s="21" t="str">
        <f t="array" ref="AG27">IFERROR(INDEX($P$10:$P$306,SMALL(IF(($B$10:$B$306=$R27)*($L$10:$L$306="x"),ROW($P$10:$P$306)-9,""),IF(COLUMN()-23&lt;=$W27,COLUMN()-23,0))),"")</f>
        <v/>
      </c>
      <c r="AH27" s="84" t="str">
        <f t="array" ref="AH27">IFERROR(INDEX($P$10:$P$306,SMALL(IF(($B$10:$B$306=$R27)*($L$10:$L$306="x"),ROW($P$10:$P$306)-9,""),IF(COLUMN()-23&lt;=$W27,COLUMN()-23,0))),"")</f>
        <v/>
      </c>
      <c r="AI27" s="8" t="s">
        <v>247</v>
      </c>
      <c r="AJ27" s="21" t="str">
        <f t="shared" ca="1" si="5"/>
        <v>Cường,Tươi,Trân</v>
      </c>
      <c r="AK27" s="21">
        <f t="shared" si="6"/>
        <v>3</v>
      </c>
    </row>
    <row r="28" spans="1:37" ht="27" customHeight="1" thickBot="1">
      <c r="A28" s="37">
        <v>19</v>
      </c>
      <c r="B28" s="388" t="s">
        <v>147</v>
      </c>
      <c r="C28" s="163" t="s">
        <v>366</v>
      </c>
      <c r="D28" s="164"/>
      <c r="E28" s="164">
        <v>2000</v>
      </c>
      <c r="F28" s="163" t="s">
        <v>367</v>
      </c>
      <c r="G28" s="164" t="s">
        <v>368</v>
      </c>
      <c r="H28" s="164" t="s">
        <v>369</v>
      </c>
      <c r="I28" s="424"/>
      <c r="J28" s="164"/>
      <c r="K28" s="425" t="s">
        <v>370</v>
      </c>
      <c r="L28" s="426" t="s">
        <v>64</v>
      </c>
      <c r="M28" s="427"/>
      <c r="N28" s="21" t="s">
        <v>65</v>
      </c>
      <c r="O28" s="43" t="str">
        <f t="shared" si="0"/>
        <v>Thắm</v>
      </c>
      <c r="P28" s="171" t="str">
        <f t="shared" si="1"/>
        <v>Thắm</v>
      </c>
      <c r="Q28" s="44">
        <v>19</v>
      </c>
      <c r="R28" s="8" t="s">
        <v>254</v>
      </c>
      <c r="S28" s="46" t="str">
        <f t="shared" ref="S28:T28" si="25">V28</f>
        <v>Nam, Hồng, Trân</v>
      </c>
      <c r="T28" s="21">
        <f t="shared" si="25"/>
        <v>3</v>
      </c>
      <c r="U28" s="21" t="str">
        <f t="shared" si="3"/>
        <v>Nam, Hồng, Trân</v>
      </c>
      <c r="V28" s="49" t="str">
        <f t="shared" si="8"/>
        <v>Nam, Hồng, Trân</v>
      </c>
      <c r="W28" s="21">
        <f t="shared" si="4"/>
        <v>3</v>
      </c>
      <c r="X28" s="21" t="str">
        <f t="array" ref="X28">IFERROR(INDEX($P$10:$P$306,SMALL(IF(($B$10:$B$306=$R28)*($L$10:$L$306="x"),ROW($P$10:$P$306)-9,""),IF(COLUMN()-23&lt;=$W28,COLUMN()-23,0))),"")</f>
        <v>Nam</v>
      </c>
      <c r="Y28" s="21" t="str">
        <f t="array" ref="Y28">IFERROR(INDEX($P$10:$P$306,SMALL(IF(($B$10:$B$306=$R28)*($L$10:$L$306="x"),ROW($P$10:$P$306)-9,""),IF(COLUMN()-23&lt;=$W28,COLUMN()-23,0))),"")</f>
        <v>Hồng</v>
      </c>
      <c r="Z28" s="21" t="str">
        <f t="array" ref="Z28">IFERROR(INDEX($P$10:$P$306,SMALL(IF(($B$10:$B$306=$R28)*($L$10:$L$306="x"),ROW($P$10:$P$306)-9,""),IF(COLUMN()-23&lt;=$W28,COLUMN()-23,0))),"")</f>
        <v>Trân</v>
      </c>
      <c r="AA28" s="21" t="str">
        <f t="array" ref="AA28">IFERROR(INDEX($P$10:$P$306,SMALL(IF(($B$10:$B$306=$R28)*($L$10:$L$306="x"),ROW($P$10:$P$306)-9,""),IF(COLUMN()-23&lt;=$W28,COLUMN()-23,0))),"")</f>
        <v/>
      </c>
      <c r="AB28" s="21" t="str">
        <f t="array" ref="AB28">IFERROR(INDEX($P$10:$P$306,SMALL(IF(($B$10:$B$306=$R28)*($L$10:$L$306="x"),ROW($P$10:$P$306)-9,""),IF(COLUMN()-23&lt;=$W28,COLUMN()-23,0))),"")</f>
        <v/>
      </c>
      <c r="AC28" s="21" t="str">
        <f t="array" ref="AC28">IFERROR(INDEX($P$10:$P$306,SMALL(IF(($B$10:$B$306=$R28)*($L$10:$L$306="x"),ROW($P$10:$P$306)-9,""),IF(COLUMN()-23&lt;=$W28,COLUMN()-23,0))),"")</f>
        <v/>
      </c>
      <c r="AD28" s="21" t="str">
        <f t="array" ref="AD28">IFERROR(INDEX($P$10:$P$306,SMALL(IF(($B$10:$B$306=$R28)*($L$10:$L$306="x"),ROW($P$10:$P$306)-9,""),IF(COLUMN()-23&lt;=$W28,COLUMN()-23,0))),"")</f>
        <v/>
      </c>
      <c r="AE28" s="21" t="str">
        <f t="array" ref="AE28">IFERROR(INDEX($P$10:$P$306,SMALL(IF(($B$10:$B$306=$R28)*($L$10:$L$306="x"),ROW($P$10:$P$306)-9,""),IF(COLUMN()-23&lt;=$W28,COLUMN()-23,0))),"")</f>
        <v/>
      </c>
      <c r="AF28" s="21" t="str">
        <f t="array" ref="AF28">IFERROR(INDEX($P$10:$P$306,SMALL(IF(($B$10:$B$306=$R28)*($L$10:$L$306="x"),ROW($P$10:$P$306)-9,""),IF(COLUMN()-23&lt;=$W28,COLUMN()-23,0))),"")</f>
        <v/>
      </c>
      <c r="AG28" s="21" t="str">
        <f t="array" ref="AG28">IFERROR(INDEX($P$10:$P$306,SMALL(IF(($B$10:$B$306=$R28)*($L$10:$L$306="x"),ROW($P$10:$P$306)-9,""),IF(COLUMN()-23&lt;=$W28,COLUMN()-23,0))),"")</f>
        <v/>
      </c>
      <c r="AH28" s="84" t="str">
        <f t="array" ref="AH28">IFERROR(INDEX($P$10:$P$306,SMALL(IF(($B$10:$B$306=$R28)*($L$10:$L$306="x"),ROW($P$10:$P$306)-9,""),IF(COLUMN()-23&lt;=$W28,COLUMN()-23,0))),"")</f>
        <v/>
      </c>
      <c r="AI28" s="8" t="s">
        <v>254</v>
      </c>
      <c r="AJ28" s="21" t="str">
        <f t="shared" ca="1" si="5"/>
        <v>Cường,Tươi,Trân</v>
      </c>
      <c r="AK28" s="21">
        <f t="shared" si="6"/>
        <v>3</v>
      </c>
    </row>
    <row r="29" spans="1:37" ht="27" customHeight="1">
      <c r="A29" s="37">
        <v>20</v>
      </c>
      <c r="B29" s="384" t="s">
        <v>149</v>
      </c>
      <c r="C29" s="39" t="s">
        <v>148</v>
      </c>
      <c r="D29" s="40">
        <v>1965</v>
      </c>
      <c r="E29" s="40"/>
      <c r="F29" s="39" t="s">
        <v>371</v>
      </c>
      <c r="G29" s="40" t="s">
        <v>860</v>
      </c>
      <c r="H29" s="40" t="s">
        <v>868</v>
      </c>
      <c r="I29" s="404" t="s">
        <v>372</v>
      </c>
      <c r="J29" s="40"/>
      <c r="K29" s="405" t="s">
        <v>63</v>
      </c>
      <c r="L29" s="406" t="s">
        <v>64</v>
      </c>
      <c r="M29" s="407"/>
      <c r="N29" s="21" t="s">
        <v>65</v>
      </c>
      <c r="O29" s="43" t="str">
        <f t="shared" si="0"/>
        <v>Tâm</v>
      </c>
      <c r="P29" s="171" t="str">
        <f t="shared" si="1"/>
        <v>Tâm</v>
      </c>
      <c r="Q29" s="44">
        <v>20</v>
      </c>
      <c r="R29" s="8" t="s">
        <v>258</v>
      </c>
      <c r="S29" s="46" t="str">
        <f t="shared" ref="S29:T29" si="26">V29</f>
        <v/>
      </c>
      <c r="T29" s="21">
        <f t="shared" si="26"/>
        <v>0</v>
      </c>
      <c r="U29" s="21" t="str">
        <f t="shared" si="3"/>
        <v/>
      </c>
      <c r="V29" s="49" t="str">
        <f t="shared" si="8"/>
        <v/>
      </c>
      <c r="W29" s="21">
        <f t="shared" si="4"/>
        <v>0</v>
      </c>
      <c r="X29" s="21" t="str">
        <f t="array" ref="X29">IFERROR(INDEX($P$10:$P$306,SMALL(IF(($B$10:$B$306=$R29)*($L$10:$L$306="x"),ROW($P$10:$P$306)-9,""),IF(COLUMN()-23&lt;=$W29,COLUMN()-23,0))),"")</f>
        <v/>
      </c>
      <c r="Y29" s="21" t="str">
        <f t="array" ref="Y29">IFERROR(INDEX($P$10:$P$306,SMALL(IF(($B$10:$B$306=$R29)*($L$10:$L$306="x"),ROW($P$10:$P$306)-9,""),IF(COLUMN()-23&lt;=$W29,COLUMN()-23,0))),"")</f>
        <v/>
      </c>
      <c r="Z29" s="21" t="str">
        <f t="array" ref="Z29">IFERROR(INDEX($P$10:$P$306,SMALL(IF(($B$10:$B$306=$R29)*($L$10:$L$306="x"),ROW($P$10:$P$306)-9,""),IF(COLUMN()-23&lt;=$W29,COLUMN()-23,0))),"")</f>
        <v/>
      </c>
      <c r="AA29" s="21" t="str">
        <f t="array" ref="AA29">IFERROR(INDEX($P$10:$P$306,SMALL(IF(($B$10:$B$306=$R29)*($L$10:$L$306="x"),ROW($P$10:$P$306)-9,""),IF(COLUMN()-23&lt;=$W29,COLUMN()-23,0))),"")</f>
        <v/>
      </c>
      <c r="AB29" s="21" t="str">
        <f t="array" ref="AB29">IFERROR(INDEX($P$10:$P$306,SMALL(IF(($B$10:$B$306=$R29)*($L$10:$L$306="x"),ROW($P$10:$P$306)-9,""),IF(COLUMN()-23&lt;=$W29,COLUMN()-23,0))),"")</f>
        <v/>
      </c>
      <c r="AC29" s="21" t="str">
        <f t="array" ref="AC29">IFERROR(INDEX($P$10:$P$306,SMALL(IF(($B$10:$B$306=$R29)*($L$10:$L$306="x"),ROW($P$10:$P$306)-9,""),IF(COLUMN()-23&lt;=$W29,COLUMN()-23,0))),"")</f>
        <v/>
      </c>
      <c r="AD29" s="21" t="str">
        <f t="array" ref="AD29">IFERROR(INDEX($P$10:$P$306,SMALL(IF(($B$10:$B$306=$R29)*($L$10:$L$306="x"),ROW($P$10:$P$306)-9,""),IF(COLUMN()-23&lt;=$W29,COLUMN()-23,0))),"")</f>
        <v/>
      </c>
      <c r="AE29" s="21" t="str">
        <f t="array" ref="AE29">IFERROR(INDEX($P$10:$P$306,SMALL(IF(($B$10:$B$306=$R29)*($L$10:$L$306="x"),ROW($P$10:$P$306)-9,""),IF(COLUMN()-23&lt;=$W29,COLUMN()-23,0))),"")</f>
        <v/>
      </c>
      <c r="AF29" s="21" t="str">
        <f t="array" ref="AF29">IFERROR(INDEX($P$10:$P$306,SMALL(IF(($B$10:$B$306=$R29)*($L$10:$L$306="x"),ROW($P$10:$P$306)-9,""),IF(COLUMN()-23&lt;=$W29,COLUMN()-23,0))),"")</f>
        <v/>
      </c>
      <c r="AG29" s="21" t="str">
        <f t="array" ref="AG29">IFERROR(INDEX($P$10:$P$306,SMALL(IF(($B$10:$B$306=$R29)*($L$10:$L$306="x"),ROW($P$10:$P$306)-9,""),IF(COLUMN()-23&lt;=$W29,COLUMN()-23,0))),"")</f>
        <v/>
      </c>
      <c r="AH29" s="84" t="str">
        <f t="array" ref="AH29">IFERROR(INDEX($P$10:$P$306,SMALL(IF(($B$10:$B$306=$R29)*($L$10:$L$306="x"),ROW($P$10:$P$306)-9,""),IF(COLUMN()-23&lt;=$W29,COLUMN()-23,0))),"")</f>
        <v/>
      </c>
      <c r="AI29" s="8" t="s">
        <v>258</v>
      </c>
      <c r="AJ29" s="21" t="str">
        <f t="shared" ca="1" si="5"/>
        <v>Cường,Tươi,Trân</v>
      </c>
      <c r="AK29" s="21">
        <f t="shared" si="6"/>
        <v>0</v>
      </c>
    </row>
    <row r="30" spans="1:37" ht="27" customHeight="1">
      <c r="A30" s="37">
        <v>21</v>
      </c>
      <c r="B30" s="385" t="s">
        <v>149</v>
      </c>
      <c r="C30" s="85" t="s">
        <v>373</v>
      </c>
      <c r="D30" s="86"/>
      <c r="E30" s="86">
        <v>1966</v>
      </c>
      <c r="F30" s="85" t="s">
        <v>374</v>
      </c>
      <c r="G30" s="86" t="s">
        <v>861</v>
      </c>
      <c r="H30" s="86" t="s">
        <v>866</v>
      </c>
      <c r="I30" s="408"/>
      <c r="J30" s="86"/>
      <c r="K30" s="409" t="s">
        <v>114</v>
      </c>
      <c r="L30" s="410" t="s">
        <v>64</v>
      </c>
      <c r="M30" s="411"/>
      <c r="N30" s="21" t="s">
        <v>65</v>
      </c>
      <c r="O30" s="43" t="str">
        <f t="shared" si="0"/>
        <v>Ánh</v>
      </c>
      <c r="P30" s="171" t="str">
        <f t="shared" si="1"/>
        <v>Ánh</v>
      </c>
      <c r="Q30" s="44">
        <v>21</v>
      </c>
      <c r="R30" s="8" t="s">
        <v>267</v>
      </c>
      <c r="S30" s="46" t="str">
        <f t="shared" ref="S30:T30" si="27">V30</f>
        <v/>
      </c>
      <c r="T30" s="21">
        <f t="shared" si="27"/>
        <v>0</v>
      </c>
      <c r="U30" s="21" t="str">
        <f t="shared" si="3"/>
        <v/>
      </c>
      <c r="V30" s="49" t="str">
        <f t="shared" si="8"/>
        <v/>
      </c>
      <c r="W30" s="21">
        <f t="shared" si="4"/>
        <v>0</v>
      </c>
      <c r="X30" s="21" t="str">
        <f t="array" ref="X30">IFERROR(INDEX($P$10:$P$306,SMALL(IF(($B$10:$B$306=$R30)*($L$10:$L$306="x"),ROW($P$10:$P$306)-9,""),IF(COLUMN()-23&lt;=$W30,COLUMN()-23,0))),"")</f>
        <v/>
      </c>
      <c r="Y30" s="21" t="str">
        <f t="array" ref="Y30">IFERROR(INDEX($P$10:$P$306,SMALL(IF(($B$10:$B$306=$R30)*($L$10:$L$306="x"),ROW($P$10:$P$306)-9,""),IF(COLUMN()-23&lt;=$W30,COLUMN()-23,0))),"")</f>
        <v/>
      </c>
      <c r="Z30" s="21" t="str">
        <f t="array" ref="Z30">IFERROR(INDEX($P$10:$P$306,SMALL(IF(($B$10:$B$306=$R30)*($L$10:$L$306="x"),ROW($P$10:$P$306)-9,""),IF(COLUMN()-23&lt;=$W30,COLUMN()-23,0))),"")</f>
        <v/>
      </c>
      <c r="AA30" s="21" t="str">
        <f t="array" ref="AA30">IFERROR(INDEX($P$10:$P$306,SMALL(IF(($B$10:$B$306=$R30)*($L$10:$L$306="x"),ROW($P$10:$P$306)-9,""),IF(COLUMN()-23&lt;=$W30,COLUMN()-23,0))),"")</f>
        <v/>
      </c>
      <c r="AB30" s="21" t="str">
        <f t="array" ref="AB30">IFERROR(INDEX($P$10:$P$306,SMALL(IF(($B$10:$B$306=$R30)*($L$10:$L$306="x"),ROW($P$10:$P$306)-9,""),IF(COLUMN()-23&lt;=$W30,COLUMN()-23,0))),"")</f>
        <v/>
      </c>
      <c r="AC30" s="21" t="str">
        <f t="array" ref="AC30">IFERROR(INDEX($P$10:$P$306,SMALL(IF(($B$10:$B$306=$R30)*($L$10:$L$306="x"),ROW($P$10:$P$306)-9,""),IF(COLUMN()-23&lt;=$W30,COLUMN()-23,0))),"")</f>
        <v/>
      </c>
      <c r="AD30" s="21" t="str">
        <f t="array" ref="AD30">IFERROR(INDEX($P$10:$P$306,SMALL(IF(($B$10:$B$306=$R30)*($L$10:$L$306="x"),ROW($P$10:$P$306)-9,""),IF(COLUMN()-23&lt;=$W30,COLUMN()-23,0))),"")</f>
        <v/>
      </c>
      <c r="AE30" s="21" t="str">
        <f t="array" ref="AE30">IFERROR(INDEX($P$10:$P$306,SMALL(IF(($B$10:$B$306=$R30)*($L$10:$L$306="x"),ROW($P$10:$P$306)-9,""),IF(COLUMN()-23&lt;=$W30,COLUMN()-23,0))),"")</f>
        <v/>
      </c>
      <c r="AF30" s="21" t="str">
        <f t="array" ref="AF30">IFERROR(INDEX($P$10:$P$306,SMALL(IF(($B$10:$B$306=$R30)*($L$10:$L$306="x"),ROW($P$10:$P$306)-9,""),IF(COLUMN()-23&lt;=$W30,COLUMN()-23,0))),"")</f>
        <v/>
      </c>
      <c r="AG30" s="21" t="str">
        <f t="array" ref="AG30">IFERROR(INDEX($P$10:$P$306,SMALL(IF(($B$10:$B$306=$R30)*($L$10:$L$306="x"),ROW($P$10:$P$306)-9,""),IF(COLUMN()-23&lt;=$W30,COLUMN()-23,0))),"")</f>
        <v/>
      </c>
      <c r="AH30" s="84" t="str">
        <f t="array" ref="AH30">IFERROR(INDEX($P$10:$P$306,SMALL(IF(($B$10:$B$306=$R30)*($L$10:$L$306="x"),ROW($P$10:$P$306)-9,""),IF(COLUMN()-23&lt;=$W30,COLUMN()-23,0))),"")</f>
        <v/>
      </c>
      <c r="AI30" s="8" t="s">
        <v>267</v>
      </c>
      <c r="AJ30" s="21" t="str">
        <f t="shared" ca="1" si="5"/>
        <v>Cường,Tươi,Trân</v>
      </c>
      <c r="AK30" s="21">
        <f t="shared" si="6"/>
        <v>0</v>
      </c>
    </row>
    <row r="31" spans="1:37" ht="27" customHeight="1">
      <c r="A31" s="37">
        <v>22</v>
      </c>
      <c r="B31" s="385" t="s">
        <v>149</v>
      </c>
      <c r="C31" s="85" t="s">
        <v>375</v>
      </c>
      <c r="D31" s="86"/>
      <c r="E31" s="86">
        <v>1986</v>
      </c>
      <c r="F31" s="85" t="s">
        <v>374</v>
      </c>
      <c r="G31" s="86" t="s">
        <v>862</v>
      </c>
      <c r="H31" s="86" t="s">
        <v>866</v>
      </c>
      <c r="I31" s="408"/>
      <c r="J31" s="86"/>
      <c r="K31" s="409" t="s">
        <v>145</v>
      </c>
      <c r="L31" s="410" t="s">
        <v>64</v>
      </c>
      <c r="M31" s="411"/>
      <c r="N31" s="21" t="s">
        <v>65</v>
      </c>
      <c r="O31" s="43" t="str">
        <f t="shared" si="0"/>
        <v>Nguyên</v>
      </c>
      <c r="P31" s="171" t="str">
        <f t="shared" si="1"/>
        <v>Nguyên</v>
      </c>
      <c r="Q31" s="44">
        <v>22</v>
      </c>
      <c r="R31" s="8" t="s">
        <v>269</v>
      </c>
      <c r="S31" s="46" t="str">
        <f t="shared" ref="S31:T31" si="28">V31</f>
        <v/>
      </c>
      <c r="T31" s="21">
        <f t="shared" si="28"/>
        <v>0</v>
      </c>
      <c r="U31" s="21" t="str">
        <f t="shared" si="3"/>
        <v/>
      </c>
      <c r="V31" s="49" t="str">
        <f t="shared" si="8"/>
        <v/>
      </c>
      <c r="W31" s="21">
        <f t="shared" si="4"/>
        <v>0</v>
      </c>
      <c r="X31" s="21" t="str">
        <f t="array" ref="X31">IFERROR(INDEX($P$10:$P$306,SMALL(IF(($B$10:$B$306=$R31)*($L$10:$L$306="x"),ROW($P$10:$P$306)-9,""),IF(COLUMN()-23&lt;=$W31,COLUMN()-23,0))),"")</f>
        <v/>
      </c>
      <c r="Y31" s="21" t="str">
        <f t="array" ref="Y31">IFERROR(INDEX($P$10:$P$306,SMALL(IF(($B$10:$B$306=$R31)*($L$10:$L$306="x"),ROW($P$10:$P$306)-9,""),IF(COLUMN()-23&lt;=$W31,COLUMN()-23,0))),"")</f>
        <v/>
      </c>
      <c r="Z31" s="21" t="str">
        <f t="array" ref="Z31">IFERROR(INDEX($P$10:$P$306,SMALL(IF(($B$10:$B$306=$R31)*($L$10:$L$306="x"),ROW($P$10:$P$306)-9,""),IF(COLUMN()-23&lt;=$W31,COLUMN()-23,0))),"")</f>
        <v/>
      </c>
      <c r="AA31" s="21" t="str">
        <f t="array" ref="AA31">IFERROR(INDEX($P$10:$P$306,SMALL(IF(($B$10:$B$306=$R31)*($L$10:$L$306="x"),ROW($P$10:$P$306)-9,""),IF(COLUMN()-23&lt;=$W31,COLUMN()-23,0))),"")</f>
        <v/>
      </c>
      <c r="AB31" s="21" t="str">
        <f t="array" ref="AB31">IFERROR(INDEX($P$10:$P$306,SMALL(IF(($B$10:$B$306=$R31)*($L$10:$L$306="x"),ROW($P$10:$P$306)-9,""),IF(COLUMN()-23&lt;=$W31,COLUMN()-23,0))),"")</f>
        <v/>
      </c>
      <c r="AC31" s="21" t="str">
        <f t="array" ref="AC31">IFERROR(INDEX($P$10:$P$306,SMALL(IF(($B$10:$B$306=$R31)*($L$10:$L$306="x"),ROW($P$10:$P$306)-9,""),IF(COLUMN()-23&lt;=$W31,COLUMN()-23,0))),"")</f>
        <v/>
      </c>
      <c r="AD31" s="21" t="str">
        <f t="array" ref="AD31">IFERROR(INDEX($P$10:$P$306,SMALL(IF(($B$10:$B$306=$R31)*($L$10:$L$306="x"),ROW($P$10:$P$306)-9,""),IF(COLUMN()-23&lt;=$W31,COLUMN()-23,0))),"")</f>
        <v/>
      </c>
      <c r="AE31" s="21" t="str">
        <f t="array" ref="AE31">IFERROR(INDEX($P$10:$P$306,SMALL(IF(($B$10:$B$306=$R31)*($L$10:$L$306="x"),ROW($P$10:$P$306)-9,""),IF(COLUMN()-23&lt;=$W31,COLUMN()-23,0))),"")</f>
        <v/>
      </c>
      <c r="AF31" s="21" t="str">
        <f t="array" ref="AF31">IFERROR(INDEX($P$10:$P$306,SMALL(IF(($B$10:$B$306=$R31)*($L$10:$L$306="x"),ROW($P$10:$P$306)-9,""),IF(COLUMN()-23&lt;=$W31,COLUMN()-23,0))),"")</f>
        <v/>
      </c>
      <c r="AG31" s="21" t="str">
        <f t="array" ref="AG31">IFERROR(INDEX($P$10:$P$306,SMALL(IF(($B$10:$B$306=$R31)*($L$10:$L$306="x"),ROW($P$10:$P$306)-9,""),IF(COLUMN()-23&lt;=$W31,COLUMN()-23,0))),"")</f>
        <v/>
      </c>
      <c r="AH31" s="84" t="str">
        <f t="array" ref="AH31">IFERROR(INDEX($P$10:$P$306,SMALL(IF(($B$10:$B$306=$R31)*($L$10:$L$306="x"),ROW($P$10:$P$306)-9,""),IF(COLUMN()-23&lt;=$W31,COLUMN()-23,0))),"")</f>
        <v/>
      </c>
      <c r="AI31" s="8" t="s">
        <v>269</v>
      </c>
      <c r="AJ31" s="21" t="str">
        <f t="shared" ca="1" si="5"/>
        <v>Cường,Tươi,Trân</v>
      </c>
      <c r="AK31" s="21">
        <f t="shared" si="6"/>
        <v>0</v>
      </c>
    </row>
    <row r="32" spans="1:37" ht="27" customHeight="1">
      <c r="A32" s="37">
        <v>23</v>
      </c>
      <c r="B32" s="385" t="s">
        <v>149</v>
      </c>
      <c r="C32" s="85" t="s">
        <v>160</v>
      </c>
      <c r="D32" s="86"/>
      <c r="E32" s="86">
        <v>1988</v>
      </c>
      <c r="F32" s="85" t="s">
        <v>374</v>
      </c>
      <c r="G32" s="86" t="s">
        <v>863</v>
      </c>
      <c r="H32" s="86" t="s">
        <v>867</v>
      </c>
      <c r="I32" s="408"/>
      <c r="J32" s="86"/>
      <c r="K32" s="409" t="s">
        <v>145</v>
      </c>
      <c r="L32" s="410" t="s">
        <v>64</v>
      </c>
      <c r="M32" s="411"/>
      <c r="N32" s="21" t="s">
        <v>65</v>
      </c>
      <c r="O32" s="43" t="str">
        <f t="shared" si="0"/>
        <v>Thúy</v>
      </c>
      <c r="P32" s="171" t="str">
        <f t="shared" si="1"/>
        <v>Thúy</v>
      </c>
      <c r="Q32" s="44">
        <v>23</v>
      </c>
      <c r="R32" s="8" t="s">
        <v>271</v>
      </c>
      <c r="S32" s="46" t="str">
        <f t="shared" ref="S32:T32" si="29">V32</f>
        <v>Sâm, Hương, Quyên, Trúc</v>
      </c>
      <c r="T32" s="21">
        <f t="shared" si="29"/>
        <v>4</v>
      </c>
      <c r="U32" s="21" t="str">
        <f t="shared" si="3"/>
        <v>Sâm, Hương, Quyên, Trúc</v>
      </c>
      <c r="V32" s="49" t="str">
        <f t="shared" si="8"/>
        <v>Sâm, Hương, Quyên, Trúc</v>
      </c>
      <c r="W32" s="21">
        <f t="shared" si="4"/>
        <v>4</v>
      </c>
      <c r="X32" s="21" t="str">
        <f t="array" ref="X32">IFERROR(INDEX($P$10:$P$306,SMALL(IF(($B$10:$B$306=$R32)*($L$10:$L$306="x"),ROW($P$10:$P$306)-9,""),IF(COLUMN()-23&lt;=$W32,COLUMN()-23,0))),"")</f>
        <v>Sâm</v>
      </c>
      <c r="Y32" s="21" t="str">
        <f t="array" ref="Y32">IFERROR(INDEX($P$10:$P$306,SMALL(IF(($B$10:$B$306=$R32)*($L$10:$L$306="x"),ROW($P$10:$P$306)-9,""),IF(COLUMN()-23&lt;=$W32,COLUMN()-23,0))),"")</f>
        <v>Hương</v>
      </c>
      <c r="Z32" s="21" t="str">
        <f t="array" ref="Z32">IFERROR(INDEX($P$10:$P$306,SMALL(IF(($B$10:$B$306=$R32)*($L$10:$L$306="x"),ROW($P$10:$P$306)-9,""),IF(COLUMN()-23&lt;=$W32,COLUMN()-23,0))),"")</f>
        <v>Quyên</v>
      </c>
      <c r="AA32" s="21" t="str">
        <f t="array" ref="AA32">IFERROR(INDEX($P$10:$P$306,SMALL(IF(($B$10:$B$306=$R32)*($L$10:$L$306="x"),ROW($P$10:$P$306)-9,""),IF(COLUMN()-23&lt;=$W32,COLUMN()-23,0))),"")</f>
        <v>Trúc</v>
      </c>
      <c r="AB32" s="21" t="str">
        <f t="array" ref="AB32">IFERROR(INDEX($P$10:$P$306,SMALL(IF(($B$10:$B$306=$R32)*($L$10:$L$306="x"),ROW($P$10:$P$306)-9,""),IF(COLUMN()-23&lt;=$W32,COLUMN()-23,0))),"")</f>
        <v/>
      </c>
      <c r="AC32" s="21" t="str">
        <f t="array" ref="AC32">IFERROR(INDEX($P$10:$P$306,SMALL(IF(($B$10:$B$306=$R32)*($L$10:$L$306="x"),ROW($P$10:$P$306)-9,""),IF(COLUMN()-23&lt;=$W32,COLUMN()-23,0))),"")</f>
        <v/>
      </c>
      <c r="AD32" s="21" t="str">
        <f t="array" ref="AD32">IFERROR(INDEX($P$10:$P$306,SMALL(IF(($B$10:$B$306=$R32)*($L$10:$L$306="x"),ROW($P$10:$P$306)-9,""),IF(COLUMN()-23&lt;=$W32,COLUMN()-23,0))),"")</f>
        <v/>
      </c>
      <c r="AE32" s="21" t="str">
        <f t="array" ref="AE32">IFERROR(INDEX($P$10:$P$306,SMALL(IF(($B$10:$B$306=$R32)*($L$10:$L$306="x"),ROW($P$10:$P$306)-9,""),IF(COLUMN()-23&lt;=$W32,COLUMN()-23,0))),"")</f>
        <v/>
      </c>
      <c r="AF32" s="21" t="str">
        <f t="array" ref="AF32">IFERROR(INDEX($P$10:$P$306,SMALL(IF(($B$10:$B$306=$R32)*($L$10:$L$306="x"),ROW($P$10:$P$306)-9,""),IF(COLUMN()-23&lt;=$W32,COLUMN()-23,0))),"")</f>
        <v/>
      </c>
      <c r="AG32" s="21" t="str">
        <f t="array" ref="AG32">IFERROR(INDEX($P$10:$P$306,SMALL(IF(($B$10:$B$306=$R32)*($L$10:$L$306="x"),ROW($P$10:$P$306)-9,""),IF(COLUMN()-23&lt;=$W32,COLUMN()-23,0))),"")</f>
        <v/>
      </c>
      <c r="AH32" s="84" t="str">
        <f t="array" ref="AH32">IFERROR(INDEX($P$10:$P$306,SMALL(IF(($B$10:$B$306=$R32)*($L$10:$L$306="x"),ROW($P$10:$P$306)-9,""),IF(COLUMN()-23&lt;=$W32,COLUMN()-23,0))),"")</f>
        <v/>
      </c>
      <c r="AI32" s="8" t="s">
        <v>271</v>
      </c>
      <c r="AJ32" s="21" t="str">
        <f t="shared" ca="1" si="5"/>
        <v>Cường,Tươi,Trân</v>
      </c>
      <c r="AK32" s="21">
        <f t="shared" si="6"/>
        <v>4</v>
      </c>
    </row>
    <row r="33" spans="1:37" ht="27" customHeight="1">
      <c r="A33" s="37">
        <v>24</v>
      </c>
      <c r="B33" s="385" t="s">
        <v>149</v>
      </c>
      <c r="C33" s="85" t="s">
        <v>376</v>
      </c>
      <c r="D33" s="86" t="s">
        <v>377</v>
      </c>
      <c r="E33" s="86"/>
      <c r="F33" s="85" t="s">
        <v>734</v>
      </c>
      <c r="G33" s="86" t="s">
        <v>864</v>
      </c>
      <c r="H33" s="86" t="s">
        <v>869</v>
      </c>
      <c r="I33" s="408"/>
      <c r="J33" s="86"/>
      <c r="K33" s="409" t="s">
        <v>378</v>
      </c>
      <c r="L33" s="410" t="s">
        <v>64</v>
      </c>
      <c r="M33" s="411"/>
      <c r="N33" s="21" t="s">
        <v>65</v>
      </c>
      <c r="O33" s="43" t="str">
        <f t="shared" si="0"/>
        <v>Tài</v>
      </c>
      <c r="P33" s="171" t="str">
        <f t="shared" si="1"/>
        <v>Tài</v>
      </c>
      <c r="Q33" s="44">
        <v>24</v>
      </c>
      <c r="R33" s="8" t="s">
        <v>276</v>
      </c>
      <c r="S33" s="46" t="str">
        <f t="shared" ref="S33:T33" si="30">V33</f>
        <v>Trí, Kiều, Hiệp, Thảo, Trâm</v>
      </c>
      <c r="T33" s="21">
        <f t="shared" si="30"/>
        <v>5</v>
      </c>
      <c r="U33" s="21" t="str">
        <f t="shared" si="3"/>
        <v>Trí, Kiều, Hiệp, Thảo, Trâm</v>
      </c>
      <c r="V33" s="49" t="str">
        <f t="shared" si="8"/>
        <v>Trí, Kiều, Hiệp, Thảo, Trâm</v>
      </c>
      <c r="W33" s="21">
        <f t="shared" si="4"/>
        <v>5</v>
      </c>
      <c r="X33" s="21" t="str">
        <f t="array" ref="X33">IFERROR(INDEX($P$10:$P$306,SMALL(IF(($B$10:$B$306=$R33)*($L$10:$L$306="x"),ROW($P$10:$P$306)-9,""),IF(COLUMN()-23&lt;=$W33,COLUMN()-23,0))),"")</f>
        <v>Trí</v>
      </c>
      <c r="Y33" s="21" t="str">
        <f t="array" ref="Y33">IFERROR(INDEX($P$10:$P$306,SMALL(IF(($B$10:$B$306=$R33)*($L$10:$L$306="x"),ROW($P$10:$P$306)-9,""),IF(COLUMN()-23&lt;=$W33,COLUMN()-23,0))),"")</f>
        <v>Kiều</v>
      </c>
      <c r="Z33" s="21" t="str">
        <f t="array" ref="Z33">IFERROR(INDEX($P$10:$P$306,SMALL(IF(($B$10:$B$306=$R33)*($L$10:$L$306="x"),ROW($P$10:$P$306)-9,""),IF(COLUMN()-23&lt;=$W33,COLUMN()-23,0))),"")</f>
        <v>Hiệp</v>
      </c>
      <c r="AA33" s="21" t="str">
        <f t="array" ref="AA33">IFERROR(INDEX($P$10:$P$306,SMALL(IF(($B$10:$B$306=$R33)*($L$10:$L$306="x"),ROW($P$10:$P$306)-9,""),IF(COLUMN()-23&lt;=$W33,COLUMN()-23,0))),"")</f>
        <v>Thảo</v>
      </c>
      <c r="AB33" s="21" t="str">
        <f t="array" ref="AB33">IFERROR(INDEX($P$10:$P$306,SMALL(IF(($B$10:$B$306=$R33)*($L$10:$L$306="x"),ROW($P$10:$P$306)-9,""),IF(COLUMN()-23&lt;=$W33,COLUMN()-23,0))),"")</f>
        <v>Trâm</v>
      </c>
      <c r="AC33" s="21" t="str">
        <f t="array" ref="AC33">IFERROR(INDEX($P$10:$P$306,SMALL(IF(($B$10:$B$306=$R33)*($L$10:$L$306="x"),ROW($P$10:$P$306)-9,""),IF(COLUMN()-23&lt;=$W33,COLUMN()-23,0))),"")</f>
        <v/>
      </c>
      <c r="AD33" s="21" t="str">
        <f t="array" ref="AD33">IFERROR(INDEX($P$10:$P$306,SMALL(IF(($B$10:$B$306=$R33)*($L$10:$L$306="x"),ROW($P$10:$P$306)-9,""),IF(COLUMN()-23&lt;=$W33,COLUMN()-23,0))),"")</f>
        <v/>
      </c>
      <c r="AE33" s="21" t="str">
        <f t="array" ref="AE33">IFERROR(INDEX($P$10:$P$306,SMALL(IF(($B$10:$B$306=$R33)*($L$10:$L$306="x"),ROW($P$10:$P$306)-9,""),IF(COLUMN()-23&lt;=$W33,COLUMN()-23,0))),"")</f>
        <v/>
      </c>
      <c r="AF33" s="21" t="str">
        <f t="array" ref="AF33">IFERROR(INDEX($P$10:$P$306,SMALL(IF(($B$10:$B$306=$R33)*($L$10:$L$306="x"),ROW($P$10:$P$306)-9,""),IF(COLUMN()-23&lt;=$W33,COLUMN()-23,0))),"")</f>
        <v/>
      </c>
      <c r="AG33" s="21" t="str">
        <f t="array" ref="AG33">IFERROR(INDEX($P$10:$P$306,SMALL(IF(($B$10:$B$306=$R33)*($L$10:$L$306="x"),ROW($P$10:$P$306)-9,""),IF(COLUMN()-23&lt;=$W33,COLUMN()-23,0))),"")</f>
        <v/>
      </c>
      <c r="AH33" s="84" t="str">
        <f t="array" ref="AH33">IFERROR(INDEX($P$10:$P$306,SMALL(IF(($B$10:$B$306=$R33)*($L$10:$L$306="x"),ROW($P$10:$P$306)-9,""),IF(COLUMN()-23&lt;=$W33,COLUMN()-23,0))),"")</f>
        <v/>
      </c>
      <c r="AI33" s="8" t="s">
        <v>276</v>
      </c>
      <c r="AJ33" s="21" t="str">
        <f t="shared" ca="1" si="5"/>
        <v>Cường,Tươi,Trân</v>
      </c>
      <c r="AK33" s="21">
        <f t="shared" si="6"/>
        <v>5</v>
      </c>
    </row>
    <row r="34" spans="1:37" ht="27" customHeight="1" thickBot="1">
      <c r="A34" s="37">
        <v>25</v>
      </c>
      <c r="B34" s="386" t="s">
        <v>149</v>
      </c>
      <c r="C34" s="99" t="s">
        <v>379</v>
      </c>
      <c r="D34" s="100"/>
      <c r="E34" s="100">
        <v>1970</v>
      </c>
      <c r="F34" s="99" t="s">
        <v>374</v>
      </c>
      <c r="G34" s="100" t="s">
        <v>865</v>
      </c>
      <c r="H34" s="100" t="s">
        <v>867</v>
      </c>
      <c r="I34" s="412"/>
      <c r="J34" s="100"/>
      <c r="K34" s="413"/>
      <c r="L34" s="414"/>
      <c r="M34" s="415" t="s">
        <v>324</v>
      </c>
      <c r="N34" s="21" t="s">
        <v>65</v>
      </c>
      <c r="O34" s="43" t="str">
        <f t="shared" si="0"/>
        <v>Nga</v>
      </c>
      <c r="P34" s="171" t="str">
        <f t="shared" si="1"/>
        <v/>
      </c>
      <c r="Q34" s="44">
        <v>25</v>
      </c>
      <c r="R34" s="8" t="s">
        <v>289</v>
      </c>
      <c r="S34" s="46" t="str">
        <f t="shared" ref="S34:T34" si="31">V34</f>
        <v>Thiệu, Nga, Trang, Chinh</v>
      </c>
      <c r="T34" s="21">
        <f t="shared" si="31"/>
        <v>4</v>
      </c>
      <c r="U34" s="21" t="str">
        <f t="shared" si="3"/>
        <v>Thiệu, Nga, Trang, Chinh</v>
      </c>
      <c r="V34" s="49" t="str">
        <f t="shared" si="8"/>
        <v>Thiệu, Nga, Trang, Chinh</v>
      </c>
      <c r="W34" s="21">
        <f t="shared" si="4"/>
        <v>4</v>
      </c>
      <c r="X34" s="21" t="str">
        <f t="array" ref="X34">IFERROR(INDEX($P$10:$P$306,SMALL(IF(($B$10:$B$306=$R34)*($L$10:$L$306="x"),ROW($P$10:$P$306)-9,""),IF(COLUMN()-23&lt;=$W34,COLUMN()-23,0))),"")</f>
        <v>Thiệu</v>
      </c>
      <c r="Y34" s="21" t="str">
        <f t="array" ref="Y34">IFERROR(INDEX($P$10:$P$306,SMALL(IF(($B$10:$B$306=$R34)*($L$10:$L$306="x"),ROW($P$10:$P$306)-9,""),IF(COLUMN()-23&lt;=$W34,COLUMN()-23,0))),"")</f>
        <v>Nga</v>
      </c>
      <c r="Z34" s="21" t="str">
        <f t="array" ref="Z34">IFERROR(INDEX($P$10:$P$306,SMALL(IF(($B$10:$B$306=$R34)*($L$10:$L$306="x"),ROW($P$10:$P$306)-9,""),IF(COLUMN()-23&lt;=$W34,COLUMN()-23,0))),"")</f>
        <v>Trang</v>
      </c>
      <c r="AA34" s="21" t="str">
        <f t="array" ref="AA34">IFERROR(INDEX($P$10:$P$306,SMALL(IF(($B$10:$B$306=$R34)*($L$10:$L$306="x"),ROW($P$10:$P$306)-9,""),IF(COLUMN()-23&lt;=$W34,COLUMN()-23,0))),"")</f>
        <v>Chinh</v>
      </c>
      <c r="AB34" s="21" t="str">
        <f t="array" ref="AB34">IFERROR(INDEX($P$10:$P$306,SMALL(IF(($B$10:$B$306=$R34)*($L$10:$L$306="x"),ROW($P$10:$P$306)-9,""),IF(COLUMN()-23&lt;=$W34,COLUMN()-23,0))),"")</f>
        <v/>
      </c>
      <c r="AC34" s="21" t="str">
        <f t="array" ref="AC34">IFERROR(INDEX($P$10:$P$306,SMALL(IF(($B$10:$B$306=$R34)*($L$10:$L$306="x"),ROW($P$10:$P$306)-9,""),IF(COLUMN()-23&lt;=$W34,COLUMN()-23,0))),"")</f>
        <v/>
      </c>
      <c r="AD34" s="21" t="str">
        <f t="array" ref="AD34">IFERROR(INDEX($P$10:$P$306,SMALL(IF(($B$10:$B$306=$R34)*($L$10:$L$306="x"),ROW($P$10:$P$306)-9,""),IF(COLUMN()-23&lt;=$W34,COLUMN()-23,0))),"")</f>
        <v/>
      </c>
      <c r="AE34" s="21" t="str">
        <f t="array" ref="AE34">IFERROR(INDEX($P$10:$P$306,SMALL(IF(($B$10:$B$306=$R34)*($L$10:$L$306="x"),ROW($P$10:$P$306)-9,""),IF(COLUMN()-23&lt;=$W34,COLUMN()-23,0))),"")</f>
        <v/>
      </c>
      <c r="AF34" s="21" t="str">
        <f t="array" ref="AF34">IFERROR(INDEX($P$10:$P$306,SMALL(IF(($B$10:$B$306=$R34)*($L$10:$L$306="x"),ROW($P$10:$P$306)-9,""),IF(COLUMN()-23&lt;=$W34,COLUMN()-23,0))),"")</f>
        <v/>
      </c>
      <c r="AG34" s="21" t="str">
        <f t="array" ref="AG34">IFERROR(INDEX($P$10:$P$306,SMALL(IF(($B$10:$B$306=$R34)*($L$10:$L$306="x"),ROW($P$10:$P$306)-9,""),IF(COLUMN()-23&lt;=$W34,COLUMN()-23,0))),"")</f>
        <v/>
      </c>
      <c r="AH34" s="84" t="str">
        <f t="array" ref="AH34">IFERROR(INDEX($P$10:$P$306,SMALL(IF(($B$10:$B$306=$R34)*($L$10:$L$306="x"),ROW($P$10:$P$306)-9,""),IF(COLUMN()-23&lt;=$W34,COLUMN()-23,0))),"")</f>
        <v/>
      </c>
      <c r="AI34" s="8" t="s">
        <v>289</v>
      </c>
      <c r="AJ34" s="21" t="str">
        <f t="shared" ca="1" si="5"/>
        <v>Cường,Tươi,Trân</v>
      </c>
      <c r="AK34" s="21">
        <f t="shared" si="6"/>
        <v>4</v>
      </c>
    </row>
    <row r="35" spans="1:37" ht="27" customHeight="1">
      <c r="A35" s="37">
        <v>26</v>
      </c>
      <c r="B35" s="387" t="s">
        <v>153</v>
      </c>
      <c r="C35" s="112" t="s">
        <v>380</v>
      </c>
      <c r="D35" s="113">
        <v>1953</v>
      </c>
      <c r="E35" s="113"/>
      <c r="F35" s="112" t="s">
        <v>381</v>
      </c>
      <c r="G35" s="113" t="s">
        <v>382</v>
      </c>
      <c r="H35" s="113" t="s">
        <v>383</v>
      </c>
      <c r="I35" s="416"/>
      <c r="J35" s="113" t="s">
        <v>384</v>
      </c>
      <c r="K35" s="417" t="s">
        <v>63</v>
      </c>
      <c r="L35" s="418" t="s">
        <v>127</v>
      </c>
      <c r="M35" s="419"/>
      <c r="N35" s="21" t="s">
        <v>65</v>
      </c>
      <c r="O35" s="43" t="str">
        <f t="shared" si="0"/>
        <v>Tuấn</v>
      </c>
      <c r="P35" s="171" t="str">
        <f t="shared" si="1"/>
        <v>Tuấn</v>
      </c>
      <c r="Q35" s="44">
        <v>26</v>
      </c>
      <c r="R35" s="8" t="s">
        <v>292</v>
      </c>
      <c r="S35" s="46" t="str">
        <f t="shared" ref="S35:T35" si="32">V35</f>
        <v>Thanh, Hòa, Bình</v>
      </c>
      <c r="T35" s="21">
        <f t="shared" si="32"/>
        <v>3</v>
      </c>
      <c r="U35" s="21" t="str">
        <f t="shared" si="3"/>
        <v>Thanh, Hòa, Bình</v>
      </c>
      <c r="V35" s="49" t="str">
        <f t="shared" si="8"/>
        <v>Thanh, Hòa, Bình</v>
      </c>
      <c r="W35" s="21">
        <f t="shared" si="4"/>
        <v>3</v>
      </c>
      <c r="X35" s="21" t="str">
        <f t="array" ref="X35">IFERROR(INDEX($P$10:$P$306,SMALL(IF(($B$10:$B$306=$R35)*($L$10:$L$306="x"),ROW($P$10:$P$306)-9,""),IF(COLUMN()-23&lt;=$W35,COLUMN()-23,0))),"")</f>
        <v>Thanh</v>
      </c>
      <c r="Y35" s="21" t="str">
        <f t="array" ref="Y35">IFERROR(INDEX($P$10:$P$306,SMALL(IF(($B$10:$B$306=$R35)*($L$10:$L$306="x"),ROW($P$10:$P$306)-9,""),IF(COLUMN()-23&lt;=$W35,COLUMN()-23,0))),"")</f>
        <v>Hòa</v>
      </c>
      <c r="Z35" s="21" t="str">
        <f t="array" ref="Z35">IFERROR(INDEX($P$10:$P$306,SMALL(IF(($B$10:$B$306=$R35)*($L$10:$L$306="x"),ROW($P$10:$P$306)-9,""),IF(COLUMN()-23&lt;=$W35,COLUMN()-23,0))),"")</f>
        <v>Bình</v>
      </c>
      <c r="AA35" s="21" t="str">
        <f t="array" ref="AA35">IFERROR(INDEX($P$10:$P$306,SMALL(IF(($B$10:$B$306=$R35)*($L$10:$L$306="x"),ROW($P$10:$P$306)-9,""),IF(COLUMN()-23&lt;=$W35,COLUMN()-23,0))),"")</f>
        <v/>
      </c>
      <c r="AB35" s="21" t="str">
        <f t="array" ref="AB35">IFERROR(INDEX($P$10:$P$306,SMALL(IF(($B$10:$B$306=$R35)*($L$10:$L$306="x"),ROW($P$10:$P$306)-9,""),IF(COLUMN()-23&lt;=$W35,COLUMN()-23,0))),"")</f>
        <v/>
      </c>
      <c r="AC35" s="21" t="str">
        <f t="array" ref="AC35">IFERROR(INDEX($P$10:$P$306,SMALL(IF(($B$10:$B$306=$R35)*($L$10:$L$306="x"),ROW($P$10:$P$306)-9,""),IF(COLUMN()-23&lt;=$W35,COLUMN()-23,0))),"")</f>
        <v/>
      </c>
      <c r="AD35" s="21" t="str">
        <f t="array" ref="AD35">IFERROR(INDEX($P$10:$P$306,SMALL(IF(($B$10:$B$306=$R35)*($L$10:$L$306="x"),ROW($P$10:$P$306)-9,""),IF(COLUMN()-23&lt;=$W35,COLUMN()-23,0))),"")</f>
        <v/>
      </c>
      <c r="AE35" s="21" t="str">
        <f t="array" ref="AE35">IFERROR(INDEX($P$10:$P$306,SMALL(IF(($B$10:$B$306=$R35)*($L$10:$L$306="x"),ROW($P$10:$P$306)-9,""),IF(COLUMN()-23&lt;=$W35,COLUMN()-23,0))),"")</f>
        <v/>
      </c>
      <c r="AF35" s="21" t="str">
        <f t="array" ref="AF35">IFERROR(INDEX($P$10:$P$306,SMALL(IF(($B$10:$B$306=$R35)*($L$10:$L$306="x"),ROW($P$10:$P$306)-9,""),IF(COLUMN()-23&lt;=$W35,COLUMN()-23,0))),"")</f>
        <v/>
      </c>
      <c r="AG35" s="21" t="str">
        <f t="array" ref="AG35">IFERROR(INDEX($P$10:$P$306,SMALL(IF(($B$10:$B$306=$R35)*($L$10:$L$306="x"),ROW($P$10:$P$306)-9,""),IF(COLUMN()-23&lt;=$W35,COLUMN()-23,0))),"")</f>
        <v/>
      </c>
      <c r="AH35" s="84" t="str">
        <f t="array" ref="AH35">IFERROR(INDEX($P$10:$P$306,SMALL(IF(($B$10:$B$306=$R35)*($L$10:$L$306="x"),ROW($P$10:$P$306)-9,""),IF(COLUMN()-23&lt;=$W35,COLUMN()-23,0))),"")</f>
        <v/>
      </c>
      <c r="AI35" s="8" t="s">
        <v>292</v>
      </c>
      <c r="AJ35" s="21" t="str">
        <f t="shared" ca="1" si="5"/>
        <v>Cường,Tươi,Trân</v>
      </c>
      <c r="AK35" s="21">
        <f t="shared" si="6"/>
        <v>3</v>
      </c>
    </row>
    <row r="36" spans="1:37" ht="27" customHeight="1">
      <c r="A36" s="37">
        <v>27</v>
      </c>
      <c r="B36" s="385" t="s">
        <v>153</v>
      </c>
      <c r="C36" s="119" t="s">
        <v>385</v>
      </c>
      <c r="D36" s="121"/>
      <c r="E36" s="121">
        <v>1979</v>
      </c>
      <c r="F36" s="119" t="s">
        <v>381</v>
      </c>
      <c r="G36" s="121" t="s">
        <v>386</v>
      </c>
      <c r="H36" s="121" t="s">
        <v>387</v>
      </c>
      <c r="I36" s="420"/>
      <c r="J36" s="121" t="s">
        <v>384</v>
      </c>
      <c r="K36" s="421" t="s">
        <v>145</v>
      </c>
      <c r="L36" s="422" t="s">
        <v>64</v>
      </c>
      <c r="M36" s="423"/>
      <c r="N36" s="21" t="s">
        <v>65</v>
      </c>
      <c r="O36" s="43" t="str">
        <f t="shared" si="0"/>
        <v>Nhiên</v>
      </c>
      <c r="P36" s="171" t="str">
        <f t="shared" si="1"/>
        <v>Nhiên</v>
      </c>
      <c r="Q36" s="44">
        <v>27</v>
      </c>
      <c r="R36" s="8" t="s">
        <v>299</v>
      </c>
      <c r="S36" s="46" t="str">
        <f t="shared" ref="S36:T36" si="33">V36</f>
        <v>Tèo, Trang, My, Lan</v>
      </c>
      <c r="T36" s="21">
        <f t="shared" si="33"/>
        <v>4</v>
      </c>
      <c r="U36" s="21" t="str">
        <f t="shared" si="3"/>
        <v>Tèo, Trang, My, Lan</v>
      </c>
      <c r="V36" s="49" t="str">
        <f t="shared" si="8"/>
        <v>Tèo, Trang, My, Lan</v>
      </c>
      <c r="W36" s="21">
        <f t="shared" si="4"/>
        <v>4</v>
      </c>
      <c r="X36" s="21" t="str">
        <f t="array" ref="X36">IFERROR(INDEX($P$10:$P$306,SMALL(IF(($B$10:$B$306=$R36)*($L$10:$L$306="x"),ROW($P$10:$P$306)-9,""),IF(COLUMN()-23&lt;=$W36,COLUMN()-23,0))),"")</f>
        <v>Tèo</v>
      </c>
      <c r="Y36" s="21" t="str">
        <f t="array" ref="Y36">IFERROR(INDEX($P$10:$P$306,SMALL(IF(($B$10:$B$306=$R36)*($L$10:$L$306="x"),ROW($P$10:$P$306)-9,""),IF(COLUMN()-23&lt;=$W36,COLUMN()-23,0))),"")</f>
        <v>Trang</v>
      </c>
      <c r="Z36" s="21" t="str">
        <f t="array" ref="Z36">IFERROR(INDEX($P$10:$P$306,SMALL(IF(($B$10:$B$306=$R36)*($L$10:$L$306="x"),ROW($P$10:$P$306)-9,""),IF(COLUMN()-23&lt;=$W36,COLUMN()-23,0))),"")</f>
        <v>My</v>
      </c>
      <c r="AA36" s="21" t="str">
        <f t="array" ref="AA36">IFERROR(INDEX($P$10:$P$306,SMALL(IF(($B$10:$B$306=$R36)*($L$10:$L$306="x"),ROW($P$10:$P$306)-9,""),IF(COLUMN()-23&lt;=$W36,COLUMN()-23,0))),"")</f>
        <v>Lan</v>
      </c>
      <c r="AB36" s="21" t="str">
        <f t="array" ref="AB36">IFERROR(INDEX($P$10:$P$306,SMALL(IF(($B$10:$B$306=$R36)*($L$10:$L$306="x"),ROW($P$10:$P$306)-9,""),IF(COLUMN()-23&lt;=$W36,COLUMN()-23,0))),"")</f>
        <v/>
      </c>
      <c r="AC36" s="21" t="str">
        <f t="array" ref="AC36">IFERROR(INDEX($P$10:$P$306,SMALL(IF(($B$10:$B$306=$R36)*($L$10:$L$306="x"),ROW($P$10:$P$306)-9,""),IF(COLUMN()-23&lt;=$W36,COLUMN()-23,0))),"")</f>
        <v/>
      </c>
      <c r="AD36" s="21" t="str">
        <f t="array" ref="AD36">IFERROR(INDEX($P$10:$P$306,SMALL(IF(($B$10:$B$306=$R36)*($L$10:$L$306="x"),ROW($P$10:$P$306)-9,""),IF(COLUMN()-23&lt;=$W36,COLUMN()-23,0))),"")</f>
        <v/>
      </c>
      <c r="AE36" s="21" t="str">
        <f t="array" ref="AE36">IFERROR(INDEX($P$10:$P$306,SMALL(IF(($B$10:$B$306=$R36)*($L$10:$L$306="x"),ROW($P$10:$P$306)-9,""),IF(COLUMN()-23&lt;=$W36,COLUMN()-23,0))),"")</f>
        <v/>
      </c>
      <c r="AF36" s="21" t="str">
        <f t="array" ref="AF36">IFERROR(INDEX($P$10:$P$306,SMALL(IF(($B$10:$B$306=$R36)*($L$10:$L$306="x"),ROW($P$10:$P$306)-9,""),IF(COLUMN()-23&lt;=$W36,COLUMN()-23,0))),"")</f>
        <v/>
      </c>
      <c r="AG36" s="21" t="str">
        <f t="array" ref="AG36">IFERROR(INDEX($P$10:$P$306,SMALL(IF(($B$10:$B$306=$R36)*($L$10:$L$306="x"),ROW($P$10:$P$306)-9,""),IF(COLUMN()-23&lt;=$W36,COLUMN()-23,0))),"")</f>
        <v/>
      </c>
      <c r="AH36" s="84" t="str">
        <f t="array" ref="AH36">IFERROR(INDEX($P$10:$P$306,SMALL(IF(($B$10:$B$306=$R36)*($L$10:$L$306="x"),ROW($P$10:$P$306)-9,""),IF(COLUMN()-23&lt;=$W36,COLUMN()-23,0))),"")</f>
        <v/>
      </c>
      <c r="AI36" s="8" t="s">
        <v>299</v>
      </c>
      <c r="AJ36" s="21" t="str">
        <f t="shared" ca="1" si="5"/>
        <v>Cường,Tươi,Trân</v>
      </c>
      <c r="AK36" s="21">
        <f t="shared" si="6"/>
        <v>4</v>
      </c>
    </row>
    <row r="37" spans="1:37" ht="27" customHeight="1">
      <c r="A37" s="37">
        <v>28</v>
      </c>
      <c r="B37" s="385" t="s">
        <v>153</v>
      </c>
      <c r="C37" s="119" t="s">
        <v>150</v>
      </c>
      <c r="D37" s="121">
        <v>1977</v>
      </c>
      <c r="E37" s="121"/>
      <c r="F37" s="119" t="s">
        <v>381</v>
      </c>
      <c r="G37" s="121" t="s">
        <v>388</v>
      </c>
      <c r="H37" s="121" t="s">
        <v>389</v>
      </c>
      <c r="I37" s="420" t="s">
        <v>390</v>
      </c>
      <c r="J37" s="121" t="s">
        <v>384</v>
      </c>
      <c r="K37" s="421" t="s">
        <v>378</v>
      </c>
      <c r="L37" s="422" t="s">
        <v>64</v>
      </c>
      <c r="M37" s="423"/>
      <c r="N37" s="21" t="s">
        <v>65</v>
      </c>
      <c r="O37" s="43" t="str">
        <f t="shared" si="0"/>
        <v>Nhất</v>
      </c>
      <c r="P37" s="171" t="str">
        <f t="shared" si="1"/>
        <v>Nhất</v>
      </c>
      <c r="Q37" s="44">
        <v>28</v>
      </c>
      <c r="R37" s="8" t="s">
        <v>301</v>
      </c>
      <c r="S37" s="46" t="str">
        <f t="shared" ref="S37:T37" si="34">V37</f>
        <v>Nghĩa, Thu, Ân, Phúc</v>
      </c>
      <c r="T37" s="21">
        <f t="shared" si="34"/>
        <v>4</v>
      </c>
      <c r="U37" s="21" t="str">
        <f t="shared" si="3"/>
        <v>Nghĩa, Thu, Ân, Phúc</v>
      </c>
      <c r="V37" s="49" t="str">
        <f t="shared" si="8"/>
        <v>Nghĩa, Thu, Ân, Phúc</v>
      </c>
      <c r="W37" s="21">
        <f t="shared" si="4"/>
        <v>4</v>
      </c>
      <c r="X37" s="21" t="str">
        <f t="array" ref="X37">IFERROR(INDEX($P$10:$P$306,SMALL(IF(($B$10:$B$306=$R37)*($L$10:$L$306="x"),ROW($P$10:$P$306)-9,""),IF(COLUMN()-23&lt;=$W37,COLUMN()-23,0))),"")</f>
        <v>Nghĩa</v>
      </c>
      <c r="Y37" s="21" t="str">
        <f t="array" ref="Y37">IFERROR(INDEX($P$10:$P$306,SMALL(IF(($B$10:$B$306=$R37)*($L$10:$L$306="x"),ROW($P$10:$P$306)-9,""),IF(COLUMN()-23&lt;=$W37,COLUMN()-23,0))),"")</f>
        <v>Thu</v>
      </c>
      <c r="Z37" s="21" t="str">
        <f t="array" ref="Z37">IFERROR(INDEX($P$10:$P$306,SMALL(IF(($B$10:$B$306=$R37)*($L$10:$L$306="x"),ROW($P$10:$P$306)-9,""),IF(COLUMN()-23&lt;=$W37,COLUMN()-23,0))),"")</f>
        <v>Ân</v>
      </c>
      <c r="AA37" s="21" t="str">
        <f t="array" ref="AA37">IFERROR(INDEX($P$10:$P$306,SMALL(IF(($B$10:$B$306=$R37)*($L$10:$L$306="x"),ROW($P$10:$P$306)-9,""),IF(COLUMN()-23&lt;=$W37,COLUMN()-23,0))),"")</f>
        <v>Phúc</v>
      </c>
      <c r="AB37" s="21" t="str">
        <f t="array" ref="AB37">IFERROR(INDEX($P$10:$P$306,SMALL(IF(($B$10:$B$306=$R37)*($L$10:$L$306="x"),ROW($P$10:$P$306)-9,""),IF(COLUMN()-23&lt;=$W37,COLUMN()-23,0))),"")</f>
        <v/>
      </c>
      <c r="AC37" s="21" t="str">
        <f t="array" ref="AC37">IFERROR(INDEX($P$10:$P$306,SMALL(IF(($B$10:$B$306=$R37)*($L$10:$L$306="x"),ROW($P$10:$P$306)-9,""),IF(COLUMN()-23&lt;=$W37,COLUMN()-23,0))),"")</f>
        <v/>
      </c>
      <c r="AD37" s="21" t="str">
        <f t="array" ref="AD37">IFERROR(INDEX($P$10:$P$306,SMALL(IF(($B$10:$B$306=$R37)*($L$10:$L$306="x"),ROW($P$10:$P$306)-9,""),IF(COLUMN()-23&lt;=$W37,COLUMN()-23,0))),"")</f>
        <v/>
      </c>
      <c r="AE37" s="21" t="str">
        <f t="array" ref="AE37">IFERROR(INDEX($P$10:$P$306,SMALL(IF(($B$10:$B$306=$R37)*($L$10:$L$306="x"),ROW($P$10:$P$306)-9,""),IF(COLUMN()-23&lt;=$W37,COLUMN()-23,0))),"")</f>
        <v/>
      </c>
      <c r="AF37" s="21" t="str">
        <f t="array" ref="AF37">IFERROR(INDEX($P$10:$P$306,SMALL(IF(($B$10:$B$306=$R37)*($L$10:$L$306="x"),ROW($P$10:$P$306)-9,""),IF(COLUMN()-23&lt;=$W37,COLUMN()-23,0))),"")</f>
        <v/>
      </c>
      <c r="AG37" s="21" t="str">
        <f t="array" ref="AG37">IFERROR(INDEX($P$10:$P$306,SMALL(IF(($B$10:$B$306=$R37)*($L$10:$L$306="x"),ROW($P$10:$P$306)-9,""),IF(COLUMN()-23&lt;=$W37,COLUMN()-23,0))),"")</f>
        <v/>
      </c>
      <c r="AH37" s="84" t="str">
        <f t="array" ref="AH37">IFERROR(INDEX($P$10:$P$306,SMALL(IF(($B$10:$B$306=$R37)*($L$10:$L$306="x"),ROW($P$10:$P$306)-9,""),IF(COLUMN()-23&lt;=$W37,COLUMN()-23,0))),"")</f>
        <v/>
      </c>
      <c r="AI37" s="8" t="s">
        <v>301</v>
      </c>
      <c r="AJ37" s="21" t="str">
        <f t="shared" ca="1" si="5"/>
        <v>Cường,Tươi,Trân</v>
      </c>
      <c r="AK37" s="21">
        <f t="shared" si="6"/>
        <v>4</v>
      </c>
    </row>
    <row r="38" spans="1:37" ht="27" customHeight="1">
      <c r="A38" s="37">
        <v>29</v>
      </c>
      <c r="B38" s="385" t="s">
        <v>153</v>
      </c>
      <c r="C38" s="119" t="s">
        <v>391</v>
      </c>
      <c r="D38" s="121">
        <v>2001</v>
      </c>
      <c r="E38" s="121"/>
      <c r="F38" s="119" t="s">
        <v>381</v>
      </c>
      <c r="G38" s="121" t="s">
        <v>392</v>
      </c>
      <c r="H38" s="121" t="s">
        <v>389</v>
      </c>
      <c r="I38" s="420"/>
      <c r="J38" s="121" t="s">
        <v>384</v>
      </c>
      <c r="K38" s="421" t="s">
        <v>325</v>
      </c>
      <c r="L38" s="422" t="s">
        <v>127</v>
      </c>
      <c r="M38" s="423"/>
      <c r="N38" s="21" t="s">
        <v>65</v>
      </c>
      <c r="O38" s="43" t="str">
        <f t="shared" si="0"/>
        <v>Nhân</v>
      </c>
      <c r="P38" s="171" t="str">
        <f t="shared" si="1"/>
        <v>Nhân</v>
      </c>
      <c r="Q38" s="44">
        <v>29</v>
      </c>
      <c r="R38" s="8" t="s">
        <v>303</v>
      </c>
      <c r="S38" s="46" t="str">
        <f t="shared" ref="S38:T38" si="35">V38</f>
        <v>Vi, Trường, Yến, Bảo</v>
      </c>
      <c r="T38" s="21">
        <f t="shared" si="35"/>
        <v>4</v>
      </c>
      <c r="U38" s="21" t="str">
        <f t="shared" si="3"/>
        <v>Vi, Trường, Yến, Bảo</v>
      </c>
      <c r="V38" s="49" t="str">
        <f t="shared" si="8"/>
        <v>Vi, Trường, Yến, Bảo</v>
      </c>
      <c r="W38" s="21">
        <f t="shared" si="4"/>
        <v>4</v>
      </c>
      <c r="X38" s="21" t="str">
        <f t="array" ref="X38">IFERROR(INDEX($P$10:$P$306,SMALL(IF(($B$10:$B$306=$R38)*($L$10:$L$306="x"),ROW($P$10:$P$306)-9,""),IF(COLUMN()-23&lt;=$W38,COLUMN()-23,0))),"")</f>
        <v>Vi</v>
      </c>
      <c r="Y38" s="21" t="str">
        <f t="array" ref="Y38">IFERROR(INDEX($P$10:$P$306,SMALL(IF(($B$10:$B$306=$R38)*($L$10:$L$306="x"),ROW($P$10:$P$306)-9,""),IF(COLUMN()-23&lt;=$W38,COLUMN()-23,0))),"")</f>
        <v>Trường</v>
      </c>
      <c r="Z38" s="21" t="str">
        <f t="array" ref="Z38">IFERROR(INDEX($P$10:$P$306,SMALL(IF(($B$10:$B$306=$R38)*($L$10:$L$306="x"),ROW($P$10:$P$306)-9,""),IF(COLUMN()-23&lt;=$W38,COLUMN()-23,0))),"")</f>
        <v>Yến</v>
      </c>
      <c r="AA38" s="21" t="str">
        <f t="array" ref="AA38">IFERROR(INDEX($P$10:$P$306,SMALL(IF(($B$10:$B$306=$R38)*($L$10:$L$306="x"),ROW($P$10:$P$306)-9,""),IF(COLUMN()-23&lt;=$W38,COLUMN()-23,0))),"")</f>
        <v>Bảo</v>
      </c>
      <c r="AB38" s="21" t="str">
        <f t="array" ref="AB38">IFERROR(INDEX($P$10:$P$306,SMALL(IF(($B$10:$B$306=$R38)*($L$10:$L$306="x"),ROW($P$10:$P$306)-9,""),IF(COLUMN()-23&lt;=$W38,COLUMN()-23,0))),"")</f>
        <v/>
      </c>
      <c r="AC38" s="21" t="str">
        <f t="array" ref="AC38">IFERROR(INDEX($P$10:$P$306,SMALL(IF(($B$10:$B$306=$R38)*($L$10:$L$306="x"),ROW($P$10:$P$306)-9,""),IF(COLUMN()-23&lt;=$W38,COLUMN()-23,0))),"")</f>
        <v/>
      </c>
      <c r="AD38" s="21" t="str">
        <f t="array" ref="AD38">IFERROR(INDEX($P$10:$P$306,SMALL(IF(($B$10:$B$306=$R38)*($L$10:$L$306="x"),ROW($P$10:$P$306)-9,""),IF(COLUMN()-23&lt;=$W38,COLUMN()-23,0))),"")</f>
        <v/>
      </c>
      <c r="AE38" s="21" t="str">
        <f t="array" ref="AE38">IFERROR(INDEX($P$10:$P$306,SMALL(IF(($B$10:$B$306=$R38)*($L$10:$L$306="x"),ROW($P$10:$P$306)-9,""),IF(COLUMN()-23&lt;=$W38,COLUMN()-23,0))),"")</f>
        <v/>
      </c>
      <c r="AF38" s="21" t="str">
        <f t="array" ref="AF38">IFERROR(INDEX($P$10:$P$306,SMALL(IF(($B$10:$B$306=$R38)*($L$10:$L$306="x"),ROW($P$10:$P$306)-9,""),IF(COLUMN()-23&lt;=$W38,COLUMN()-23,0))),"")</f>
        <v/>
      </c>
      <c r="AG38" s="21" t="str">
        <f t="array" ref="AG38">IFERROR(INDEX($P$10:$P$306,SMALL(IF(($B$10:$B$306=$R38)*($L$10:$L$306="x"),ROW($P$10:$P$306)-9,""),IF(COLUMN()-23&lt;=$W38,COLUMN()-23,0))),"")</f>
        <v/>
      </c>
      <c r="AH38" s="84" t="str">
        <f t="array" ref="AH38">IFERROR(INDEX($P$10:$P$306,SMALL(IF(($B$10:$B$306=$R38)*($L$10:$L$306="x"),ROW($P$10:$P$306)-9,""),IF(COLUMN()-23&lt;=$W38,COLUMN()-23,0))),"")</f>
        <v/>
      </c>
      <c r="AI38" s="8" t="s">
        <v>303</v>
      </c>
      <c r="AJ38" s="21" t="str">
        <f t="shared" ca="1" si="5"/>
        <v>Cường,Tươi,Trân</v>
      </c>
      <c r="AK38" s="21">
        <f t="shared" si="6"/>
        <v>4</v>
      </c>
    </row>
    <row r="39" spans="1:37" ht="27" customHeight="1" thickBot="1">
      <c r="A39" s="37">
        <v>30</v>
      </c>
      <c r="B39" s="388" t="s">
        <v>153</v>
      </c>
      <c r="C39" s="163" t="s">
        <v>393</v>
      </c>
      <c r="D39" s="164">
        <v>2006</v>
      </c>
      <c r="E39" s="164"/>
      <c r="F39" s="163" t="s">
        <v>381</v>
      </c>
      <c r="G39" s="164" t="s">
        <v>263</v>
      </c>
      <c r="H39" s="164"/>
      <c r="I39" s="424"/>
      <c r="J39" s="164"/>
      <c r="K39" s="425" t="s">
        <v>325</v>
      </c>
      <c r="L39" s="426" t="s">
        <v>127</v>
      </c>
      <c r="M39" s="427"/>
      <c r="N39" s="21" t="s">
        <v>65</v>
      </c>
      <c r="O39" s="43" t="str">
        <f t="shared" si="0"/>
        <v>Khôi</v>
      </c>
      <c r="P39" s="171" t="str">
        <f t="shared" si="1"/>
        <v>Khôi</v>
      </c>
      <c r="Q39" s="44">
        <v>30</v>
      </c>
      <c r="R39" s="8" t="s">
        <v>306</v>
      </c>
      <c r="S39" s="46" t="str">
        <f t="shared" ref="S39:T39" si="36">V39</f>
        <v>Mai, Thông, Mười, Tín</v>
      </c>
      <c r="T39" s="21">
        <f t="shared" si="36"/>
        <v>4</v>
      </c>
      <c r="U39" s="21" t="str">
        <f t="shared" si="3"/>
        <v>Mai, Thông, Mười, Tín</v>
      </c>
      <c r="V39" s="49" t="str">
        <f t="shared" si="8"/>
        <v>Mai, Thông, Mười, Tín</v>
      </c>
      <c r="W39" s="21">
        <f t="shared" si="4"/>
        <v>4</v>
      </c>
      <c r="X39" s="21" t="str">
        <f t="array" ref="X39">IFERROR(INDEX($P$10:$P$306,SMALL(IF(($B$10:$B$306=$R39)*($L$10:$L$306="x"),ROW($P$10:$P$306)-9,""),IF(COLUMN()-23&lt;=$W39,COLUMN()-23,0))),"")</f>
        <v>Mai</v>
      </c>
      <c r="Y39" s="21" t="str">
        <f t="array" ref="Y39">IFERROR(INDEX($P$10:$P$306,SMALL(IF(($B$10:$B$306=$R39)*($L$10:$L$306="x"),ROW($P$10:$P$306)-9,""),IF(COLUMN()-23&lt;=$W39,COLUMN()-23,0))),"")</f>
        <v>Thông</v>
      </c>
      <c r="Z39" s="21" t="str">
        <f t="array" ref="Z39">IFERROR(INDEX($P$10:$P$306,SMALL(IF(($B$10:$B$306=$R39)*($L$10:$L$306="x"),ROW($P$10:$P$306)-9,""),IF(COLUMN()-23&lt;=$W39,COLUMN()-23,0))),"")</f>
        <v>Mười</v>
      </c>
      <c r="AA39" s="21" t="str">
        <f t="array" ref="AA39">IFERROR(INDEX($P$10:$P$306,SMALL(IF(($B$10:$B$306=$R39)*($L$10:$L$306="x"),ROW($P$10:$P$306)-9,""),IF(COLUMN()-23&lt;=$W39,COLUMN()-23,0))),"")</f>
        <v>Tín</v>
      </c>
      <c r="AB39" s="21" t="str">
        <f t="array" ref="AB39">IFERROR(INDEX($P$10:$P$306,SMALL(IF(($B$10:$B$306=$R39)*($L$10:$L$306="x"),ROW($P$10:$P$306)-9,""),IF(COLUMN()-23&lt;=$W39,COLUMN()-23,0))),"")</f>
        <v/>
      </c>
      <c r="AC39" s="21" t="str">
        <f t="array" ref="AC39">IFERROR(INDEX($P$10:$P$306,SMALL(IF(($B$10:$B$306=$R39)*($L$10:$L$306="x"),ROW($P$10:$P$306)-9,""),IF(COLUMN()-23&lt;=$W39,COLUMN()-23,0))),"")</f>
        <v/>
      </c>
      <c r="AD39" s="21" t="str">
        <f t="array" ref="AD39">IFERROR(INDEX($P$10:$P$306,SMALL(IF(($B$10:$B$306=$R39)*($L$10:$L$306="x"),ROW($P$10:$P$306)-9,""),IF(COLUMN()-23&lt;=$W39,COLUMN()-23,0))),"")</f>
        <v/>
      </c>
      <c r="AE39" s="21" t="str">
        <f t="array" ref="AE39">IFERROR(INDEX($P$10:$P$306,SMALL(IF(($B$10:$B$306=$R39)*($L$10:$L$306="x"),ROW($P$10:$P$306)-9,""),IF(COLUMN()-23&lt;=$W39,COLUMN()-23,0))),"")</f>
        <v/>
      </c>
      <c r="AF39" s="21" t="str">
        <f t="array" ref="AF39">IFERROR(INDEX($P$10:$P$306,SMALL(IF(($B$10:$B$306=$R39)*($L$10:$L$306="x"),ROW($P$10:$P$306)-9,""),IF(COLUMN()-23&lt;=$W39,COLUMN()-23,0))),"")</f>
        <v/>
      </c>
      <c r="AG39" s="21" t="str">
        <f t="array" ref="AG39">IFERROR(INDEX($P$10:$P$306,SMALL(IF(($B$10:$B$306=$R39)*($L$10:$L$306="x"),ROW($P$10:$P$306)-9,""),IF(COLUMN()-23&lt;=$W39,COLUMN()-23,0))),"")</f>
        <v/>
      </c>
      <c r="AH39" s="84" t="str">
        <f t="array" ref="AH39">IFERROR(INDEX($P$10:$P$306,SMALL(IF(($B$10:$B$306=$R39)*($L$10:$L$306="x"),ROW($P$10:$P$306)-9,""),IF(COLUMN()-23&lt;=$W39,COLUMN()-23,0))),"")</f>
        <v/>
      </c>
      <c r="AI39" s="8" t="s">
        <v>306</v>
      </c>
      <c r="AJ39" s="21" t="str">
        <f t="shared" ca="1" si="5"/>
        <v>Cường,Tươi,Trân</v>
      </c>
      <c r="AK39" s="21">
        <f t="shared" si="6"/>
        <v>4</v>
      </c>
    </row>
    <row r="40" spans="1:37" ht="27" customHeight="1">
      <c r="A40" s="37">
        <v>31</v>
      </c>
      <c r="B40" s="384" t="s">
        <v>162</v>
      </c>
      <c r="C40" s="39" t="s">
        <v>394</v>
      </c>
      <c r="D40" s="40">
        <v>1980</v>
      </c>
      <c r="E40" s="40"/>
      <c r="F40" s="39" t="s">
        <v>371</v>
      </c>
      <c r="G40" s="40" t="s">
        <v>395</v>
      </c>
      <c r="H40" s="40"/>
      <c r="I40" s="404"/>
      <c r="J40" s="40"/>
      <c r="K40" s="405" t="s">
        <v>396</v>
      </c>
      <c r="L40" s="406" t="s">
        <v>64</v>
      </c>
      <c r="M40" s="407"/>
      <c r="N40" s="21" t="s">
        <v>65</v>
      </c>
      <c r="O40" s="43" t="str">
        <f t="shared" si="0"/>
        <v>Tân</v>
      </c>
      <c r="P40" s="171" t="str">
        <f t="shared" si="1"/>
        <v>Tân</v>
      </c>
      <c r="Q40" s="44">
        <v>31</v>
      </c>
      <c r="R40" s="21" t="s">
        <v>310</v>
      </c>
      <c r="S40" s="46" t="str">
        <f t="shared" ref="S40:T40" si="37">V40</f>
        <v>Ngọc, Phát, Lan, Hòa</v>
      </c>
      <c r="T40" s="21">
        <f t="shared" si="37"/>
        <v>4</v>
      </c>
      <c r="U40" s="21" t="str">
        <f t="shared" si="3"/>
        <v>Ngọc, Phát, Lan, Hòa</v>
      </c>
      <c r="V40" s="49" t="str">
        <f t="shared" si="8"/>
        <v>Ngọc, Phát, Lan, Hòa</v>
      </c>
      <c r="W40" s="21">
        <f t="shared" si="4"/>
        <v>4</v>
      </c>
      <c r="X40" s="21" t="str">
        <f t="array" ref="X40">IFERROR(INDEX($P$10:$P$306,SMALL(IF(($B$10:$B$306=$R40)*($L$10:$L$306="x"),ROW($P$10:$P$306)-9,""),IF(COLUMN()-23&lt;=$W40,COLUMN()-23,0))),"")</f>
        <v>Ngọc</v>
      </c>
      <c r="Y40" s="21" t="str">
        <f t="array" ref="Y40">IFERROR(INDEX($P$10:$P$306,SMALL(IF(($B$10:$B$306=$R40)*($L$10:$L$306="x"),ROW($P$10:$P$306)-9,""),IF(COLUMN()-23&lt;=$W40,COLUMN()-23,0))),"")</f>
        <v>Phát</v>
      </c>
      <c r="Z40" s="21" t="str">
        <f t="array" ref="Z40">IFERROR(INDEX($P$10:$P$306,SMALL(IF(($B$10:$B$306=$R40)*($L$10:$L$306="x"),ROW($P$10:$P$306)-9,""),IF(COLUMN()-23&lt;=$W40,COLUMN()-23,0))),"")</f>
        <v>Lan</v>
      </c>
      <c r="AA40" s="21" t="str">
        <f t="array" ref="AA40">IFERROR(INDEX($P$10:$P$306,SMALL(IF(($B$10:$B$306=$R40)*($L$10:$L$306="x"),ROW($P$10:$P$306)-9,""),IF(COLUMN()-23&lt;=$W40,COLUMN()-23,0))),"")</f>
        <v>Hòa</v>
      </c>
      <c r="AB40" s="21" t="str">
        <f t="array" ref="AB40">IFERROR(INDEX($P$10:$P$306,SMALL(IF(($B$10:$B$306=$R40)*($L$10:$L$306="x"),ROW($P$10:$P$306)-9,""),IF(COLUMN()-23&lt;=$W40,COLUMN()-23,0))),"")</f>
        <v/>
      </c>
      <c r="AC40" s="21" t="str">
        <f t="array" ref="AC40">IFERROR(INDEX($P$10:$P$306,SMALL(IF(($B$10:$B$306=$R40)*($L$10:$L$306="x"),ROW($P$10:$P$306)-9,""),IF(COLUMN()-23&lt;=$W40,COLUMN()-23,0))),"")</f>
        <v/>
      </c>
      <c r="AD40" s="21" t="str">
        <f t="array" ref="AD40">IFERROR(INDEX($P$10:$P$306,SMALL(IF(($B$10:$B$306=$R40)*($L$10:$L$306="x"),ROW($P$10:$P$306)-9,""),IF(COLUMN()-23&lt;=$W40,COLUMN()-23,0))),"")</f>
        <v/>
      </c>
      <c r="AE40" s="21" t="str">
        <f t="array" ref="AE40">IFERROR(INDEX($P$10:$P$306,SMALL(IF(($B$10:$B$306=$R40)*($L$10:$L$306="x"),ROW($P$10:$P$306)-9,""),IF(COLUMN()-23&lt;=$W40,COLUMN()-23,0))),"")</f>
        <v/>
      </c>
      <c r="AF40" s="21" t="str">
        <f t="array" ref="AF40">IFERROR(INDEX($P$10:$P$306,SMALL(IF(($B$10:$B$306=$R40)*($L$10:$L$306="x"),ROW($P$10:$P$306)-9,""),IF(COLUMN()-23&lt;=$W40,COLUMN()-23,0))),"")</f>
        <v/>
      </c>
      <c r="AG40" s="21" t="str">
        <f t="array" ref="AG40">IFERROR(INDEX($P$10:$P$306,SMALL(IF(($B$10:$B$306=$R40)*($L$10:$L$306="x"),ROW($P$10:$P$306)-9,""),IF(COLUMN()-23&lt;=$W40,COLUMN()-23,0))),"")</f>
        <v/>
      </c>
      <c r="AH40" s="84" t="str">
        <f t="array" ref="AH40">IFERROR(INDEX($P$10:$P$306,SMALL(IF(($B$10:$B$306=$R40)*($L$10:$L$306="x"),ROW($P$10:$P$306)-9,""),IF(COLUMN()-23&lt;=$W40,COLUMN()-23,0))),"")</f>
        <v/>
      </c>
      <c r="AI40" s="21" t="s">
        <v>310</v>
      </c>
      <c r="AJ40" s="21" t="str">
        <f t="shared" ca="1" si="5"/>
        <v>Cường,Tươi,Trân</v>
      </c>
      <c r="AK40" s="21">
        <f t="shared" si="6"/>
        <v>0</v>
      </c>
    </row>
    <row r="41" spans="1:37" ht="27" customHeight="1">
      <c r="A41" s="37">
        <v>32</v>
      </c>
      <c r="B41" s="385" t="s">
        <v>162</v>
      </c>
      <c r="C41" s="85" t="s">
        <v>397</v>
      </c>
      <c r="D41" s="86">
        <v>2008</v>
      </c>
      <c r="E41" s="86"/>
      <c r="F41" s="85" t="s">
        <v>374</v>
      </c>
      <c r="G41" s="86" t="s">
        <v>144</v>
      </c>
      <c r="H41" s="86"/>
      <c r="I41" s="408"/>
      <c r="J41" s="86"/>
      <c r="K41" s="409" t="s">
        <v>398</v>
      </c>
      <c r="L41" s="410" t="s">
        <v>64</v>
      </c>
      <c r="M41" s="411"/>
      <c r="N41" s="21" t="s">
        <v>65</v>
      </c>
      <c r="O41" s="43" t="str">
        <f t="shared" si="0"/>
        <v>Trường</v>
      </c>
      <c r="P41" s="171" t="str">
        <f t="shared" si="1"/>
        <v>Trường</v>
      </c>
      <c r="Q41" s="21"/>
      <c r="R41" s="21"/>
      <c r="S41" s="46"/>
      <c r="T41" s="21"/>
      <c r="U41" s="21"/>
      <c r="V41" s="49" t="str">
        <f t="shared" si="8"/>
        <v/>
      </c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84"/>
      <c r="AI41" s="21"/>
      <c r="AJ41" s="21"/>
      <c r="AK41" s="21"/>
    </row>
    <row r="42" spans="1:37" ht="27" customHeight="1">
      <c r="A42" s="37">
        <v>33</v>
      </c>
      <c r="B42" s="385" t="s">
        <v>162</v>
      </c>
      <c r="C42" s="85" t="s">
        <v>399</v>
      </c>
      <c r="D42" s="86">
        <v>2008</v>
      </c>
      <c r="E42" s="86"/>
      <c r="F42" s="85" t="s">
        <v>374</v>
      </c>
      <c r="G42" s="86" t="s">
        <v>144</v>
      </c>
      <c r="H42" s="86"/>
      <c r="I42" s="408"/>
      <c r="J42" s="86"/>
      <c r="K42" s="409" t="s">
        <v>398</v>
      </c>
      <c r="L42" s="410" t="s">
        <v>64</v>
      </c>
      <c r="M42" s="411"/>
      <c r="N42" s="21" t="s">
        <v>65</v>
      </c>
      <c r="O42" s="43" t="str">
        <f t="shared" si="0"/>
        <v>Vũ</v>
      </c>
      <c r="P42" s="171" t="str">
        <f t="shared" si="1"/>
        <v>Vũ</v>
      </c>
      <c r="Q42" s="21"/>
      <c r="R42" s="21"/>
      <c r="S42" s="46"/>
      <c r="T42" s="21"/>
      <c r="U42" s="21"/>
      <c r="V42" s="49" t="str">
        <f t="shared" si="8"/>
        <v/>
      </c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84"/>
      <c r="AI42" s="21"/>
      <c r="AJ42" s="21"/>
      <c r="AK42" s="21"/>
    </row>
    <row r="43" spans="1:37" ht="27" customHeight="1" thickBot="1">
      <c r="A43" s="37">
        <v>34</v>
      </c>
      <c r="B43" s="386" t="s">
        <v>162</v>
      </c>
      <c r="C43" s="99" t="s">
        <v>400</v>
      </c>
      <c r="D43" s="100">
        <v>2012</v>
      </c>
      <c r="E43" s="100"/>
      <c r="F43" s="99" t="s">
        <v>374</v>
      </c>
      <c r="G43" s="100" t="s">
        <v>144</v>
      </c>
      <c r="H43" s="100"/>
      <c r="I43" s="412"/>
      <c r="J43" s="100"/>
      <c r="K43" s="413" t="s">
        <v>398</v>
      </c>
      <c r="L43" s="414" t="s">
        <v>64</v>
      </c>
      <c r="M43" s="415"/>
      <c r="N43" s="21" t="s">
        <v>65</v>
      </c>
      <c r="O43" s="43" t="str">
        <f t="shared" si="0"/>
        <v>Long</v>
      </c>
      <c r="P43" s="171" t="str">
        <f t="shared" si="1"/>
        <v>Long</v>
      </c>
      <c r="Q43" s="21"/>
      <c r="R43" s="21"/>
      <c r="S43" s="46"/>
      <c r="T43" s="21"/>
      <c r="U43" s="21"/>
      <c r="V43" s="49" t="str">
        <f t="shared" si="8"/>
        <v/>
      </c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84"/>
      <c r="AI43" s="21"/>
      <c r="AJ43" s="21"/>
      <c r="AK43" s="21"/>
    </row>
    <row r="44" spans="1:37" ht="27" customHeight="1">
      <c r="A44" s="37">
        <v>35</v>
      </c>
      <c r="B44" s="387" t="s">
        <v>173</v>
      </c>
      <c r="C44" s="112" t="s">
        <v>401</v>
      </c>
      <c r="D44" s="113">
        <v>1974</v>
      </c>
      <c r="E44" s="113"/>
      <c r="F44" s="112" t="s">
        <v>402</v>
      </c>
      <c r="G44" s="113" t="s">
        <v>403</v>
      </c>
      <c r="H44" s="113" t="s">
        <v>404</v>
      </c>
      <c r="I44" s="416"/>
      <c r="J44" s="113" t="s">
        <v>405</v>
      </c>
      <c r="K44" s="417" t="s">
        <v>63</v>
      </c>
      <c r="L44" s="418" t="s">
        <v>64</v>
      </c>
      <c r="M44" s="419"/>
      <c r="N44" s="21" t="s">
        <v>65</v>
      </c>
      <c r="O44" s="43" t="str">
        <f t="shared" si="0"/>
        <v>Toàn</v>
      </c>
      <c r="P44" s="171" t="str">
        <f t="shared" si="1"/>
        <v>Toàn</v>
      </c>
      <c r="Q44" s="21"/>
      <c r="R44" s="21"/>
      <c r="S44" s="46"/>
      <c r="T44" s="21"/>
      <c r="U44" s="21"/>
      <c r="V44" s="49" t="str">
        <f t="shared" si="8"/>
        <v/>
      </c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</row>
    <row r="45" spans="1:37" ht="27" customHeight="1">
      <c r="A45" s="37">
        <v>36</v>
      </c>
      <c r="B45" s="385" t="s">
        <v>173</v>
      </c>
      <c r="C45" s="119" t="s">
        <v>172</v>
      </c>
      <c r="D45" s="121"/>
      <c r="E45" s="121">
        <v>1990</v>
      </c>
      <c r="F45" s="119" t="s">
        <v>406</v>
      </c>
      <c r="G45" s="121" t="s">
        <v>407</v>
      </c>
      <c r="H45" s="121" t="s">
        <v>408</v>
      </c>
      <c r="I45" s="420" t="s">
        <v>409</v>
      </c>
      <c r="J45" s="121"/>
      <c r="K45" s="421" t="s">
        <v>114</v>
      </c>
      <c r="L45" s="422" t="s">
        <v>64</v>
      </c>
      <c r="M45" s="423"/>
      <c r="N45" s="21" t="s">
        <v>65</v>
      </c>
      <c r="O45" s="43" t="str">
        <f t="shared" si="0"/>
        <v>Xuyến</v>
      </c>
      <c r="P45" s="171" t="str">
        <f t="shared" si="1"/>
        <v>Xuyến</v>
      </c>
      <c r="Q45" s="21"/>
      <c r="R45" s="21"/>
      <c r="S45" s="46"/>
      <c r="T45" s="21"/>
      <c r="U45" s="21"/>
      <c r="V45" s="49" t="str">
        <f t="shared" si="8"/>
        <v/>
      </c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</row>
    <row r="46" spans="1:37" s="228" customFormat="1" ht="27" customHeight="1">
      <c r="A46" s="37">
        <v>37</v>
      </c>
      <c r="B46" s="388" t="s">
        <v>173</v>
      </c>
      <c r="C46" s="163" t="s">
        <v>410</v>
      </c>
      <c r="D46" s="164">
        <v>2005</v>
      </c>
      <c r="E46" s="164"/>
      <c r="F46" s="163" t="s">
        <v>406</v>
      </c>
      <c r="G46" s="164" t="s">
        <v>263</v>
      </c>
      <c r="H46" s="164"/>
      <c r="I46" s="424"/>
      <c r="J46" s="164"/>
      <c r="K46" s="425" t="s">
        <v>145</v>
      </c>
      <c r="L46" s="426" t="s">
        <v>64</v>
      </c>
      <c r="M46" s="427"/>
      <c r="N46" s="21" t="s">
        <v>65</v>
      </c>
      <c r="O46" s="43" t="str">
        <f t="shared" ref="O46" si="38">TRIM(RIGHT(SUBSTITUTE(C46," ",REPT(" ",255)),255))</f>
        <v>Vẹn</v>
      </c>
      <c r="P46" s="171" t="str">
        <f t="shared" ref="P46" si="39">IF(L46="x",O46,"")</f>
        <v>Vẹn</v>
      </c>
      <c r="Q46" s="21"/>
      <c r="R46" s="21"/>
      <c r="S46" s="46"/>
      <c r="T46" s="21"/>
      <c r="U46" s="21"/>
      <c r="V46" s="49" t="str">
        <f t="shared" si="8"/>
        <v/>
      </c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</row>
    <row r="47" spans="1:37" ht="27" customHeight="1" thickBot="1">
      <c r="A47" s="37">
        <v>38</v>
      </c>
      <c r="B47" s="388" t="s">
        <v>173</v>
      </c>
      <c r="C47" s="163" t="s">
        <v>187</v>
      </c>
      <c r="D47" s="164">
        <v>1995</v>
      </c>
      <c r="E47" s="164"/>
      <c r="F47" s="163" t="s">
        <v>402</v>
      </c>
      <c r="G47" s="164" t="s">
        <v>423</v>
      </c>
      <c r="H47" s="164" t="s">
        <v>424</v>
      </c>
      <c r="I47" s="424" t="s">
        <v>425</v>
      </c>
      <c r="J47" s="164" t="s">
        <v>426</v>
      </c>
      <c r="K47" s="425" t="s">
        <v>630</v>
      </c>
      <c r="L47" s="426"/>
      <c r="M47" s="427" t="s">
        <v>324</v>
      </c>
      <c r="N47" s="21" t="s">
        <v>65</v>
      </c>
      <c r="O47" s="43" t="str">
        <f t="shared" si="0"/>
        <v>Tường</v>
      </c>
      <c r="P47" s="171" t="str">
        <f t="shared" si="1"/>
        <v/>
      </c>
      <c r="Q47" s="21"/>
      <c r="R47" s="21"/>
      <c r="S47" s="46"/>
      <c r="T47" s="21"/>
      <c r="U47" s="21"/>
      <c r="V47" s="49" t="str">
        <f t="shared" si="8"/>
        <v/>
      </c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</row>
    <row r="48" spans="1:37" ht="27" customHeight="1">
      <c r="A48" s="37">
        <v>39</v>
      </c>
      <c r="B48" s="384" t="s">
        <v>179</v>
      </c>
      <c r="C48" s="39" t="s">
        <v>178</v>
      </c>
      <c r="D48" s="40">
        <v>1968</v>
      </c>
      <c r="E48" s="40"/>
      <c r="F48" s="39" t="s">
        <v>411</v>
      </c>
      <c r="G48" s="40" t="s">
        <v>412</v>
      </c>
      <c r="H48" s="40" t="s">
        <v>413</v>
      </c>
      <c r="I48" s="404" t="s">
        <v>414</v>
      </c>
      <c r="J48" s="40" t="s">
        <v>415</v>
      </c>
      <c r="K48" s="405" t="s">
        <v>63</v>
      </c>
      <c r="L48" s="406" t="s">
        <v>64</v>
      </c>
      <c r="M48" s="407"/>
      <c r="N48" s="21" t="s">
        <v>65</v>
      </c>
      <c r="O48" s="43" t="str">
        <f t="shared" si="0"/>
        <v>Phong</v>
      </c>
      <c r="P48" s="171" t="str">
        <f t="shared" si="1"/>
        <v>Phong</v>
      </c>
      <c r="Q48" s="21"/>
      <c r="R48" s="21"/>
      <c r="S48" s="46"/>
      <c r="T48" s="21"/>
      <c r="U48" s="21"/>
      <c r="V48" s="49" t="str">
        <f t="shared" si="8"/>
        <v/>
      </c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</row>
    <row r="49" spans="1:37" ht="27" customHeight="1">
      <c r="A49" s="37">
        <v>40</v>
      </c>
      <c r="B49" s="385" t="s">
        <v>179</v>
      </c>
      <c r="C49" s="85" t="s">
        <v>416</v>
      </c>
      <c r="D49" s="86"/>
      <c r="E49" s="86">
        <v>1977</v>
      </c>
      <c r="F49" s="85" t="s">
        <v>411</v>
      </c>
      <c r="G49" s="86" t="s">
        <v>417</v>
      </c>
      <c r="H49" s="86" t="s">
        <v>418</v>
      </c>
      <c r="I49" s="408"/>
      <c r="J49" s="86" t="s">
        <v>415</v>
      </c>
      <c r="K49" s="409" t="s">
        <v>114</v>
      </c>
      <c r="L49" s="410" t="s">
        <v>64</v>
      </c>
      <c r="M49" s="411"/>
      <c r="N49" s="21" t="s">
        <v>65</v>
      </c>
      <c r="O49" s="43" t="str">
        <f t="shared" si="0"/>
        <v>Vũ</v>
      </c>
      <c r="P49" s="171" t="str">
        <f t="shared" si="1"/>
        <v>Vũ</v>
      </c>
      <c r="Q49" s="21"/>
      <c r="R49" s="21"/>
      <c r="S49" s="46"/>
      <c r="T49" s="21"/>
      <c r="U49" s="21"/>
      <c r="V49" s="49" t="str">
        <f t="shared" si="8"/>
        <v/>
      </c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</row>
    <row r="50" spans="1:37" ht="27" customHeight="1">
      <c r="A50" s="37">
        <v>41</v>
      </c>
      <c r="B50" s="385" t="s">
        <v>179</v>
      </c>
      <c r="C50" s="85" t="s">
        <v>419</v>
      </c>
      <c r="D50" s="86"/>
      <c r="E50" s="86">
        <v>2000</v>
      </c>
      <c r="F50" s="85" t="s">
        <v>411</v>
      </c>
      <c r="G50" s="86" t="s">
        <v>420</v>
      </c>
      <c r="H50" s="86" t="s">
        <v>421</v>
      </c>
      <c r="I50" s="408" t="s">
        <v>843</v>
      </c>
      <c r="J50" s="86" t="s">
        <v>415</v>
      </c>
      <c r="K50" s="409" t="s">
        <v>145</v>
      </c>
      <c r="L50" s="410" t="s">
        <v>64</v>
      </c>
      <c r="M50" s="411"/>
      <c r="N50" s="21" t="s">
        <v>65</v>
      </c>
      <c r="O50" s="43" t="str">
        <f t="shared" si="0"/>
        <v>Nguyên</v>
      </c>
      <c r="P50" s="171" t="str">
        <f t="shared" si="1"/>
        <v>Nguyên</v>
      </c>
      <c r="Q50" s="21"/>
      <c r="R50" s="21"/>
      <c r="S50" s="46"/>
      <c r="T50" s="21"/>
      <c r="U50" s="21"/>
      <c r="V50" s="49" t="str">
        <f t="shared" si="8"/>
        <v/>
      </c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</row>
    <row r="51" spans="1:37" ht="27" customHeight="1" thickBot="1">
      <c r="A51" s="37">
        <v>42</v>
      </c>
      <c r="B51" s="388" t="s">
        <v>179</v>
      </c>
      <c r="C51" s="369" t="s">
        <v>422</v>
      </c>
      <c r="D51" s="370"/>
      <c r="E51" s="370">
        <v>2006</v>
      </c>
      <c r="F51" s="369" t="s">
        <v>411</v>
      </c>
      <c r="G51" s="370" t="s">
        <v>263</v>
      </c>
      <c r="H51" s="370"/>
      <c r="I51" s="428"/>
      <c r="J51" s="370" t="s">
        <v>415</v>
      </c>
      <c r="K51" s="429" t="s">
        <v>145</v>
      </c>
      <c r="L51" s="414" t="s">
        <v>64</v>
      </c>
      <c r="M51" s="415"/>
      <c r="N51" s="21" t="s">
        <v>65</v>
      </c>
      <c r="O51" s="43" t="str">
        <f t="shared" si="0"/>
        <v>Phụng</v>
      </c>
      <c r="P51" s="171" t="str">
        <f t="shared" si="1"/>
        <v>Phụng</v>
      </c>
      <c r="Q51" s="21"/>
      <c r="R51" s="21"/>
      <c r="S51" s="21"/>
      <c r="T51" s="21"/>
      <c r="U51" s="21"/>
      <c r="V51" s="49" t="str">
        <f t="shared" si="8"/>
        <v/>
      </c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</row>
    <row r="52" spans="1:37" ht="27" customHeight="1">
      <c r="A52" s="37">
        <v>43</v>
      </c>
      <c r="B52" s="389" t="s">
        <v>188</v>
      </c>
      <c r="C52" s="375" t="s">
        <v>731</v>
      </c>
      <c r="D52" s="376"/>
      <c r="E52" s="376" t="s">
        <v>735</v>
      </c>
      <c r="F52" s="375" t="s">
        <v>736</v>
      </c>
      <c r="G52" s="376" t="s">
        <v>792</v>
      </c>
      <c r="H52" s="376" t="s">
        <v>793</v>
      </c>
      <c r="I52" s="430" t="s">
        <v>762</v>
      </c>
      <c r="J52" s="376" t="s">
        <v>766</v>
      </c>
      <c r="K52" s="431" t="s">
        <v>63</v>
      </c>
      <c r="L52" s="432" t="s">
        <v>127</v>
      </c>
      <c r="M52" s="427"/>
      <c r="N52" s="21" t="s">
        <v>65</v>
      </c>
      <c r="O52" s="43" t="str">
        <f t="shared" si="0"/>
        <v>Điệp</v>
      </c>
      <c r="P52" s="171" t="str">
        <f t="shared" si="1"/>
        <v>Điệp</v>
      </c>
      <c r="Q52" s="21"/>
      <c r="R52" s="21"/>
      <c r="S52" s="21"/>
      <c r="T52" s="21"/>
      <c r="U52" s="21"/>
      <c r="V52" s="49" t="str">
        <f t="shared" si="8"/>
        <v/>
      </c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</row>
    <row r="53" spans="1:37" s="228" customFormat="1" ht="27" customHeight="1">
      <c r="A53" s="37">
        <v>44</v>
      </c>
      <c r="B53" s="390" t="s">
        <v>188</v>
      </c>
      <c r="C53" s="373" t="s">
        <v>737</v>
      </c>
      <c r="D53" s="374" t="s">
        <v>738</v>
      </c>
      <c r="E53" s="374"/>
      <c r="F53" s="373" t="s">
        <v>739</v>
      </c>
      <c r="G53" s="374" t="s">
        <v>794</v>
      </c>
      <c r="H53" s="374" t="s">
        <v>795</v>
      </c>
      <c r="I53" s="433"/>
      <c r="J53" s="374"/>
      <c r="K53" s="434" t="s">
        <v>530</v>
      </c>
      <c r="L53" s="435" t="s">
        <v>127</v>
      </c>
      <c r="M53" s="419"/>
      <c r="N53" s="21" t="s">
        <v>65</v>
      </c>
      <c r="O53" s="43" t="str">
        <f t="shared" si="0"/>
        <v>Lành</v>
      </c>
      <c r="P53" s="171" t="str">
        <f t="shared" si="1"/>
        <v>Lành</v>
      </c>
      <c r="Q53" s="21"/>
      <c r="R53" s="21"/>
      <c r="S53" s="21"/>
      <c r="T53" s="21"/>
      <c r="U53" s="21"/>
      <c r="V53" s="49" t="str">
        <f t="shared" si="8"/>
        <v/>
      </c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</row>
    <row r="54" spans="1:37" s="228" customFormat="1" ht="27" customHeight="1">
      <c r="A54" s="37">
        <v>45</v>
      </c>
      <c r="B54" s="390" t="s">
        <v>188</v>
      </c>
      <c r="C54" s="373" t="s">
        <v>740</v>
      </c>
      <c r="D54" s="374" t="s">
        <v>741</v>
      </c>
      <c r="E54" s="374"/>
      <c r="F54" s="373" t="s">
        <v>736</v>
      </c>
      <c r="G54" s="374" t="s">
        <v>144</v>
      </c>
      <c r="H54" s="374"/>
      <c r="I54" s="433"/>
      <c r="J54" s="374"/>
      <c r="K54" s="434" t="s">
        <v>145</v>
      </c>
      <c r="L54" s="436" t="s">
        <v>127</v>
      </c>
      <c r="M54" s="423"/>
      <c r="N54" s="21" t="s">
        <v>65</v>
      </c>
      <c r="O54" s="43" t="str">
        <f t="shared" si="0"/>
        <v>Phát</v>
      </c>
      <c r="P54" s="171" t="str">
        <f t="shared" si="1"/>
        <v>Phát</v>
      </c>
      <c r="Q54" s="21"/>
      <c r="R54" s="21"/>
      <c r="S54" s="21"/>
      <c r="T54" s="21"/>
      <c r="U54" s="21"/>
      <c r="V54" s="49" t="str">
        <f t="shared" si="8"/>
        <v/>
      </c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</row>
    <row r="55" spans="1:37" s="228" customFormat="1" ht="27" customHeight="1">
      <c r="A55" s="37">
        <v>46</v>
      </c>
      <c r="B55" s="390" t="s">
        <v>188</v>
      </c>
      <c r="C55" s="373" t="s">
        <v>742</v>
      </c>
      <c r="D55" s="374"/>
      <c r="E55" s="374" t="s">
        <v>743</v>
      </c>
      <c r="F55" s="373" t="s">
        <v>736</v>
      </c>
      <c r="G55" s="374" t="s">
        <v>144</v>
      </c>
      <c r="H55" s="374"/>
      <c r="I55" s="433"/>
      <c r="J55" s="374"/>
      <c r="K55" s="434" t="s">
        <v>145</v>
      </c>
      <c r="L55" s="435" t="s">
        <v>127</v>
      </c>
      <c r="M55" s="419"/>
      <c r="N55" s="21" t="s">
        <v>65</v>
      </c>
      <c r="O55" s="43" t="str">
        <f t="shared" ref="O55:O56" si="40">TRIM(RIGHT(SUBSTITUTE(C55," ",REPT(" ",255)),255))</f>
        <v>Phấn</v>
      </c>
      <c r="P55" s="171" t="str">
        <f t="shared" ref="P55:P56" si="41">IF(L55="x",O55,"")</f>
        <v>Phấn</v>
      </c>
      <c r="Q55" s="21"/>
      <c r="R55" s="21"/>
      <c r="S55" s="21"/>
      <c r="T55" s="21"/>
      <c r="U55" s="21"/>
      <c r="V55" s="49" t="str">
        <f t="shared" si="8"/>
        <v/>
      </c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</row>
    <row r="56" spans="1:37" s="228" customFormat="1" ht="27" customHeight="1">
      <c r="A56" s="37">
        <v>47</v>
      </c>
      <c r="B56" s="390" t="s">
        <v>188</v>
      </c>
      <c r="C56" s="373" t="s">
        <v>744</v>
      </c>
      <c r="D56" s="374" t="s">
        <v>745</v>
      </c>
      <c r="E56" s="374"/>
      <c r="F56" s="373" t="s">
        <v>736</v>
      </c>
      <c r="G56" s="374" t="s">
        <v>144</v>
      </c>
      <c r="H56" s="374"/>
      <c r="I56" s="433"/>
      <c r="J56" s="374"/>
      <c r="K56" s="434" t="s">
        <v>145</v>
      </c>
      <c r="L56" s="436" t="s">
        <v>127</v>
      </c>
      <c r="M56" s="423"/>
      <c r="N56" s="21" t="s">
        <v>65</v>
      </c>
      <c r="O56" s="43" t="str">
        <f t="shared" si="40"/>
        <v>Phước</v>
      </c>
      <c r="P56" s="171" t="str">
        <f t="shared" si="41"/>
        <v>Phước</v>
      </c>
      <c r="Q56" s="21"/>
      <c r="R56" s="21"/>
      <c r="S56" s="21"/>
      <c r="T56" s="21"/>
      <c r="U56" s="21"/>
      <c r="V56" s="49" t="str">
        <f t="shared" si="8"/>
        <v/>
      </c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</row>
    <row r="57" spans="1:37" ht="27" customHeight="1">
      <c r="A57" s="37">
        <v>48</v>
      </c>
      <c r="B57" s="390" t="s">
        <v>188</v>
      </c>
      <c r="C57" s="373" t="s">
        <v>746</v>
      </c>
      <c r="D57" s="374"/>
      <c r="E57" s="374" t="s">
        <v>747</v>
      </c>
      <c r="F57" s="373" t="s">
        <v>736</v>
      </c>
      <c r="G57" s="374" t="s">
        <v>144</v>
      </c>
      <c r="H57" s="374"/>
      <c r="I57" s="433"/>
      <c r="J57" s="374"/>
      <c r="K57" s="434" t="s">
        <v>145</v>
      </c>
      <c r="L57" s="435" t="s">
        <v>127</v>
      </c>
      <c r="M57" s="419"/>
      <c r="N57" s="21" t="s">
        <v>65</v>
      </c>
      <c r="O57" s="43" t="str">
        <f t="shared" si="0"/>
        <v>Thúy</v>
      </c>
      <c r="P57" s="171" t="str">
        <f t="shared" si="1"/>
        <v>Thúy</v>
      </c>
      <c r="Q57" s="21"/>
      <c r="R57" s="21"/>
      <c r="S57" s="21"/>
      <c r="T57" s="21"/>
      <c r="U57" s="21"/>
      <c r="V57" s="49" t="str">
        <f t="shared" si="8"/>
        <v/>
      </c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</row>
    <row r="58" spans="1:37" ht="27" customHeight="1" thickBot="1">
      <c r="A58" s="37">
        <v>49</v>
      </c>
      <c r="B58" s="391" t="s">
        <v>188</v>
      </c>
      <c r="C58" s="377" t="s">
        <v>748</v>
      </c>
      <c r="D58" s="378"/>
      <c r="E58" s="378" t="s">
        <v>729</v>
      </c>
      <c r="F58" s="377" t="s">
        <v>736</v>
      </c>
      <c r="G58" s="378" t="s">
        <v>144</v>
      </c>
      <c r="H58" s="378"/>
      <c r="I58" s="437"/>
      <c r="J58" s="378"/>
      <c r="K58" s="438" t="s">
        <v>145</v>
      </c>
      <c r="L58" s="436" t="s">
        <v>127</v>
      </c>
      <c r="M58" s="423"/>
      <c r="N58" s="21" t="s">
        <v>65</v>
      </c>
      <c r="O58" s="43" t="str">
        <f t="shared" si="0"/>
        <v>Duyên</v>
      </c>
      <c r="P58" s="171" t="str">
        <f t="shared" si="1"/>
        <v>Duyên</v>
      </c>
      <c r="Q58" s="21"/>
      <c r="R58" s="21"/>
      <c r="S58" s="21"/>
      <c r="T58" s="21"/>
      <c r="U58" s="21"/>
      <c r="V58" s="49" t="str">
        <f t="shared" si="8"/>
        <v/>
      </c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</row>
    <row r="59" spans="1:37" ht="27" customHeight="1">
      <c r="A59" s="37">
        <v>50</v>
      </c>
      <c r="B59" s="392" t="s">
        <v>194</v>
      </c>
      <c r="C59" s="371" t="s">
        <v>427</v>
      </c>
      <c r="D59" s="372">
        <v>1947</v>
      </c>
      <c r="E59" s="372"/>
      <c r="F59" s="371" t="s">
        <v>402</v>
      </c>
      <c r="G59" s="372" t="s">
        <v>428</v>
      </c>
      <c r="H59" s="372" t="s">
        <v>429</v>
      </c>
      <c r="I59" s="439"/>
      <c r="J59" s="372"/>
      <c r="K59" s="440" t="s">
        <v>63</v>
      </c>
      <c r="L59" s="406" t="s">
        <v>127</v>
      </c>
      <c r="M59" s="407"/>
      <c r="N59" s="21" t="s">
        <v>65</v>
      </c>
      <c r="O59" s="43" t="str">
        <f t="shared" si="0"/>
        <v>Mãng</v>
      </c>
      <c r="P59" s="171" t="str">
        <f t="shared" si="1"/>
        <v>Mãng</v>
      </c>
      <c r="Q59" s="21"/>
      <c r="R59" s="21"/>
      <c r="S59" s="21"/>
      <c r="T59" s="21"/>
      <c r="U59" s="21"/>
      <c r="V59" s="49" t="str">
        <f t="shared" si="8"/>
        <v/>
      </c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</row>
    <row r="60" spans="1:37" ht="27" customHeight="1">
      <c r="A60" s="37">
        <v>51</v>
      </c>
      <c r="B60" s="385" t="s">
        <v>194</v>
      </c>
      <c r="C60" s="85" t="s">
        <v>430</v>
      </c>
      <c r="D60" s="86"/>
      <c r="E60" s="86">
        <v>1952</v>
      </c>
      <c r="F60" s="85" t="s">
        <v>402</v>
      </c>
      <c r="G60" s="86" t="s">
        <v>431</v>
      </c>
      <c r="H60" s="86" t="s">
        <v>429</v>
      </c>
      <c r="I60" s="408"/>
      <c r="J60" s="86"/>
      <c r="K60" s="409" t="s">
        <v>114</v>
      </c>
      <c r="L60" s="410" t="s">
        <v>127</v>
      </c>
      <c r="M60" s="411"/>
      <c r="N60" s="21" t="s">
        <v>65</v>
      </c>
      <c r="O60" s="43" t="str">
        <f t="shared" si="0"/>
        <v>Hằng</v>
      </c>
      <c r="P60" s="171" t="str">
        <f t="shared" si="1"/>
        <v>Hằng</v>
      </c>
      <c r="Q60" s="21"/>
      <c r="R60" s="21"/>
      <c r="S60" s="21"/>
      <c r="T60" s="21"/>
      <c r="U60" s="21"/>
      <c r="V60" s="49" t="str">
        <f t="shared" si="8"/>
        <v/>
      </c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</row>
    <row r="61" spans="1:37" ht="27" customHeight="1">
      <c r="A61" s="37">
        <v>52</v>
      </c>
      <c r="B61" s="385" t="s">
        <v>194</v>
      </c>
      <c r="C61" s="85" t="s">
        <v>432</v>
      </c>
      <c r="D61" s="86">
        <v>1971</v>
      </c>
      <c r="E61" s="86"/>
      <c r="F61" s="85" t="s">
        <v>402</v>
      </c>
      <c r="G61" s="86" t="s">
        <v>433</v>
      </c>
      <c r="H61" s="86" t="s">
        <v>434</v>
      </c>
      <c r="I61" s="408"/>
      <c r="J61" s="86"/>
      <c r="K61" s="409" t="s">
        <v>145</v>
      </c>
      <c r="L61" s="410"/>
      <c r="M61" s="411" t="s">
        <v>263</v>
      </c>
      <c r="N61" s="21" t="s">
        <v>65</v>
      </c>
      <c r="O61" s="43" t="str">
        <f t="shared" si="0"/>
        <v>Hoàng</v>
      </c>
      <c r="P61" s="171" t="str">
        <f t="shared" si="1"/>
        <v/>
      </c>
      <c r="Q61" s="21"/>
      <c r="R61" s="21"/>
      <c r="S61" s="21"/>
      <c r="T61" s="21"/>
      <c r="U61" s="21"/>
      <c r="V61" s="49" t="str">
        <f t="shared" si="8"/>
        <v/>
      </c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</row>
    <row r="62" spans="1:37" ht="27" customHeight="1">
      <c r="A62" s="37">
        <v>53</v>
      </c>
      <c r="B62" s="385" t="s">
        <v>194</v>
      </c>
      <c r="C62" s="85" t="s">
        <v>193</v>
      </c>
      <c r="D62" s="86">
        <v>1987</v>
      </c>
      <c r="E62" s="86"/>
      <c r="F62" s="85" t="s">
        <v>402</v>
      </c>
      <c r="G62" s="86" t="s">
        <v>435</v>
      </c>
      <c r="H62" s="86" t="s">
        <v>436</v>
      </c>
      <c r="I62" s="408" t="s">
        <v>437</v>
      </c>
      <c r="J62" s="86"/>
      <c r="K62" s="409" t="s">
        <v>145</v>
      </c>
      <c r="L62" s="410" t="s">
        <v>64</v>
      </c>
      <c r="M62" s="411"/>
      <c r="N62" s="21" t="s">
        <v>65</v>
      </c>
      <c r="O62" s="43" t="str">
        <f t="shared" si="0"/>
        <v>Nhí</v>
      </c>
      <c r="P62" s="171" t="str">
        <f t="shared" si="1"/>
        <v>Nhí</v>
      </c>
      <c r="Q62" s="21"/>
      <c r="R62" s="21"/>
      <c r="S62" s="21"/>
      <c r="T62" s="21"/>
      <c r="U62" s="21"/>
      <c r="V62" s="49" t="str">
        <f t="shared" si="8"/>
        <v/>
      </c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</row>
    <row r="63" spans="1:37" ht="27" customHeight="1">
      <c r="A63" s="37">
        <v>54</v>
      </c>
      <c r="B63" s="385" t="s">
        <v>194</v>
      </c>
      <c r="C63" s="85" t="s">
        <v>438</v>
      </c>
      <c r="D63" s="86"/>
      <c r="E63" s="86">
        <v>1994</v>
      </c>
      <c r="F63" s="85" t="s">
        <v>439</v>
      </c>
      <c r="G63" s="86" t="s">
        <v>440</v>
      </c>
      <c r="H63" s="86" t="s">
        <v>441</v>
      </c>
      <c r="I63" s="408"/>
      <c r="J63" s="86"/>
      <c r="K63" s="409"/>
      <c r="L63" s="410" t="s">
        <v>64</v>
      </c>
      <c r="M63" s="411"/>
      <c r="N63" s="21" t="s">
        <v>65</v>
      </c>
      <c r="O63" s="43" t="str">
        <f t="shared" si="0"/>
        <v>Thúy</v>
      </c>
      <c r="P63" s="171" t="str">
        <f t="shared" si="1"/>
        <v>Thúy</v>
      </c>
      <c r="Q63" s="21"/>
      <c r="R63" s="21"/>
      <c r="S63" s="21"/>
      <c r="T63" s="21"/>
      <c r="U63" s="21"/>
      <c r="V63" s="49" t="str">
        <f t="shared" si="8"/>
        <v/>
      </c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</row>
    <row r="64" spans="1:37" ht="27" customHeight="1">
      <c r="A64" s="37">
        <v>55</v>
      </c>
      <c r="B64" s="385" t="s">
        <v>194</v>
      </c>
      <c r="C64" s="85" t="s">
        <v>442</v>
      </c>
      <c r="D64" s="86">
        <v>1985</v>
      </c>
      <c r="E64" s="86"/>
      <c r="F64" s="85" t="s">
        <v>443</v>
      </c>
      <c r="G64" s="86" t="s">
        <v>444</v>
      </c>
      <c r="H64" s="86" t="s">
        <v>445</v>
      </c>
      <c r="I64" s="408"/>
      <c r="J64" s="86"/>
      <c r="K64" s="409"/>
      <c r="L64" s="410"/>
      <c r="M64" s="411" t="s">
        <v>263</v>
      </c>
      <c r="N64" s="21" t="s">
        <v>65</v>
      </c>
      <c r="O64" s="43" t="str">
        <f t="shared" si="0"/>
        <v>Quý</v>
      </c>
      <c r="P64" s="171" t="str">
        <f t="shared" si="1"/>
        <v/>
      </c>
      <c r="Q64" s="21"/>
      <c r="R64" s="21"/>
      <c r="S64" s="21"/>
      <c r="T64" s="21"/>
      <c r="U64" s="21"/>
      <c r="V64" s="49" t="str">
        <f t="shared" si="8"/>
        <v/>
      </c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</row>
    <row r="65" spans="1:37" ht="27" customHeight="1" thickBot="1">
      <c r="A65" s="37">
        <v>56</v>
      </c>
      <c r="B65" s="386" t="s">
        <v>194</v>
      </c>
      <c r="C65" s="99" t="s">
        <v>446</v>
      </c>
      <c r="D65" s="100"/>
      <c r="E65" s="100">
        <v>1989</v>
      </c>
      <c r="F65" s="99" t="s">
        <v>402</v>
      </c>
      <c r="G65" s="100" t="s">
        <v>447</v>
      </c>
      <c r="H65" s="100" t="s">
        <v>448</v>
      </c>
      <c r="I65" s="412"/>
      <c r="J65" s="100"/>
      <c r="K65" s="413"/>
      <c r="L65" s="414" t="s">
        <v>64</v>
      </c>
      <c r="M65" s="415"/>
      <c r="N65" s="21" t="s">
        <v>65</v>
      </c>
      <c r="O65" s="43" t="str">
        <f t="shared" si="0"/>
        <v>Mai</v>
      </c>
      <c r="P65" s="171" t="str">
        <f t="shared" si="1"/>
        <v>Mai</v>
      </c>
      <c r="Q65" s="21"/>
      <c r="R65" s="21"/>
      <c r="S65" s="21"/>
      <c r="T65" s="21"/>
      <c r="U65" s="21"/>
      <c r="V65" s="49" t="str">
        <f t="shared" si="8"/>
        <v/>
      </c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</row>
    <row r="66" spans="1:37" ht="27" customHeight="1">
      <c r="A66" s="37">
        <v>57</v>
      </c>
      <c r="B66" s="387" t="s">
        <v>201</v>
      </c>
      <c r="C66" s="112" t="s">
        <v>449</v>
      </c>
      <c r="D66" s="113"/>
      <c r="E66" s="113" t="s">
        <v>450</v>
      </c>
      <c r="F66" s="112" t="s">
        <v>451</v>
      </c>
      <c r="G66" s="113" t="s">
        <v>452</v>
      </c>
      <c r="H66" s="113" t="s">
        <v>453</v>
      </c>
      <c r="I66" s="416"/>
      <c r="J66" s="113" t="s">
        <v>454</v>
      </c>
      <c r="K66" s="417" t="s">
        <v>63</v>
      </c>
      <c r="L66" s="418" t="s">
        <v>64</v>
      </c>
      <c r="M66" s="419"/>
      <c r="N66" s="21" t="s">
        <v>65</v>
      </c>
      <c r="O66" s="43" t="str">
        <f t="shared" si="0"/>
        <v>Lỵ</v>
      </c>
      <c r="P66" s="171" t="str">
        <f t="shared" si="1"/>
        <v>Lỵ</v>
      </c>
      <c r="Q66" s="21"/>
      <c r="R66" s="21"/>
      <c r="S66" s="21"/>
      <c r="T66" s="21"/>
      <c r="U66" s="21"/>
      <c r="V66" s="49" t="str">
        <f t="shared" si="8"/>
        <v/>
      </c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</row>
    <row r="67" spans="1:37" ht="27" customHeight="1">
      <c r="A67" s="37">
        <v>58</v>
      </c>
      <c r="B67" s="385" t="s">
        <v>201</v>
      </c>
      <c r="C67" s="119" t="s">
        <v>200</v>
      </c>
      <c r="D67" s="121" t="s">
        <v>455</v>
      </c>
      <c r="E67" s="121"/>
      <c r="F67" s="119" t="s">
        <v>456</v>
      </c>
      <c r="G67" s="121" t="s">
        <v>457</v>
      </c>
      <c r="H67" s="121" t="s">
        <v>458</v>
      </c>
      <c r="I67" s="420" t="s">
        <v>459</v>
      </c>
      <c r="J67" s="121" t="s">
        <v>454</v>
      </c>
      <c r="K67" s="421" t="s">
        <v>460</v>
      </c>
      <c r="L67" s="422" t="s">
        <v>64</v>
      </c>
      <c r="M67" s="423"/>
      <c r="N67" s="21" t="s">
        <v>65</v>
      </c>
      <c r="O67" s="43" t="str">
        <f t="shared" si="0"/>
        <v>Linh</v>
      </c>
      <c r="P67" s="171" t="str">
        <f t="shared" si="1"/>
        <v>Linh</v>
      </c>
      <c r="Q67" s="21"/>
      <c r="R67" s="21"/>
      <c r="S67" s="21"/>
      <c r="T67" s="21"/>
      <c r="U67" s="21"/>
      <c r="V67" s="49" t="str">
        <f t="shared" si="8"/>
        <v/>
      </c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</row>
    <row r="68" spans="1:37" ht="27" customHeight="1" thickBot="1">
      <c r="A68" s="37">
        <v>59</v>
      </c>
      <c r="B68" s="388" t="s">
        <v>201</v>
      </c>
      <c r="C68" s="163" t="s">
        <v>461</v>
      </c>
      <c r="D68" s="164" t="s">
        <v>317</v>
      </c>
      <c r="E68" s="164"/>
      <c r="F68" s="163" t="s">
        <v>451</v>
      </c>
      <c r="G68" s="164" t="s">
        <v>462</v>
      </c>
      <c r="H68" s="164" t="s">
        <v>463</v>
      </c>
      <c r="I68" s="424"/>
      <c r="J68" s="164" t="s">
        <v>454</v>
      </c>
      <c r="K68" s="425" t="s">
        <v>460</v>
      </c>
      <c r="L68" s="426" t="s">
        <v>64</v>
      </c>
      <c r="M68" s="427"/>
      <c r="N68" s="21" t="s">
        <v>65</v>
      </c>
      <c r="O68" s="43" t="str">
        <f t="shared" si="0"/>
        <v>Đạt</v>
      </c>
      <c r="P68" s="171" t="str">
        <f t="shared" si="1"/>
        <v>Đạt</v>
      </c>
      <c r="Q68" s="21"/>
      <c r="R68" s="21"/>
      <c r="S68" s="21"/>
      <c r="T68" s="21"/>
      <c r="U68" s="21"/>
      <c r="V68" s="49" t="str">
        <f t="shared" si="8"/>
        <v/>
      </c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</row>
    <row r="69" spans="1:37" ht="27" customHeight="1">
      <c r="A69" s="37">
        <v>60</v>
      </c>
      <c r="B69" s="384" t="s">
        <v>213</v>
      </c>
      <c r="C69" s="39" t="s">
        <v>211</v>
      </c>
      <c r="D69" s="40">
        <v>1971</v>
      </c>
      <c r="E69" s="40"/>
      <c r="F69" s="39" t="s">
        <v>464</v>
      </c>
      <c r="G69" s="40" t="s">
        <v>465</v>
      </c>
      <c r="H69" s="40" t="s">
        <v>466</v>
      </c>
      <c r="I69" s="404"/>
      <c r="J69" s="40" t="s">
        <v>384</v>
      </c>
      <c r="K69" s="405" t="s">
        <v>63</v>
      </c>
      <c r="L69" s="406" t="s">
        <v>64</v>
      </c>
      <c r="M69" s="407"/>
      <c r="N69" s="21" t="s">
        <v>65</v>
      </c>
      <c r="O69" s="43" t="str">
        <f t="shared" si="0"/>
        <v>Thạnh</v>
      </c>
      <c r="P69" s="171" t="str">
        <f t="shared" si="1"/>
        <v>Thạnh</v>
      </c>
      <c r="Q69" s="21"/>
      <c r="R69" s="21"/>
      <c r="S69" s="21"/>
      <c r="T69" s="21"/>
      <c r="U69" s="21"/>
      <c r="V69" s="49" t="str">
        <f t="shared" si="8"/>
        <v/>
      </c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</row>
    <row r="70" spans="1:37" ht="27" customHeight="1">
      <c r="A70" s="37">
        <v>61</v>
      </c>
      <c r="B70" s="385" t="s">
        <v>213</v>
      </c>
      <c r="C70" s="85" t="s">
        <v>467</v>
      </c>
      <c r="D70" s="86"/>
      <c r="E70" s="86">
        <v>1976</v>
      </c>
      <c r="F70" s="85" t="s">
        <v>464</v>
      </c>
      <c r="G70" s="86" t="s">
        <v>468</v>
      </c>
      <c r="H70" s="86" t="s">
        <v>469</v>
      </c>
      <c r="I70" s="408" t="s">
        <v>470</v>
      </c>
      <c r="J70" s="86" t="s">
        <v>384</v>
      </c>
      <c r="K70" s="409" t="s">
        <v>114</v>
      </c>
      <c r="L70" s="410" t="s">
        <v>64</v>
      </c>
      <c r="M70" s="411"/>
      <c r="N70" s="21" t="s">
        <v>65</v>
      </c>
      <c r="O70" s="43" t="str">
        <f t="shared" si="0"/>
        <v>Nhum</v>
      </c>
      <c r="P70" s="171" t="str">
        <f t="shared" si="1"/>
        <v>Nhum</v>
      </c>
      <c r="Q70" s="21"/>
      <c r="R70" s="21"/>
      <c r="S70" s="21"/>
      <c r="T70" s="21"/>
      <c r="U70" s="21"/>
      <c r="V70" s="49" t="str">
        <f t="shared" si="8"/>
        <v/>
      </c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</row>
    <row r="71" spans="1:37" ht="27" customHeight="1">
      <c r="A71" s="37">
        <v>62</v>
      </c>
      <c r="B71" s="385" t="s">
        <v>213</v>
      </c>
      <c r="C71" s="85" t="s">
        <v>471</v>
      </c>
      <c r="D71" s="86" t="s">
        <v>472</v>
      </c>
      <c r="E71" s="86"/>
      <c r="F71" s="85" t="s">
        <v>464</v>
      </c>
      <c r="G71" s="86" t="s">
        <v>473</v>
      </c>
      <c r="H71" s="86" t="s">
        <v>474</v>
      </c>
      <c r="I71" s="408"/>
      <c r="J71" s="86" t="s">
        <v>320</v>
      </c>
      <c r="K71" s="409" t="s">
        <v>145</v>
      </c>
      <c r="L71" s="410" t="s">
        <v>127</v>
      </c>
      <c r="M71" s="411"/>
      <c r="N71" s="21" t="s">
        <v>65</v>
      </c>
      <c r="O71" s="43" t="str">
        <f t="shared" si="0"/>
        <v>Đạt</v>
      </c>
      <c r="P71" s="171" t="str">
        <f t="shared" si="1"/>
        <v>Đạt</v>
      </c>
      <c r="Q71" s="21"/>
      <c r="R71" s="21"/>
      <c r="S71" s="21"/>
      <c r="T71" s="21"/>
      <c r="U71" s="21"/>
      <c r="V71" s="49" t="str">
        <f t="shared" si="8"/>
        <v/>
      </c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</row>
    <row r="72" spans="1:37" ht="27" customHeight="1">
      <c r="A72" s="37">
        <v>63</v>
      </c>
      <c r="B72" s="385" t="s">
        <v>213</v>
      </c>
      <c r="C72" s="85" t="s">
        <v>475</v>
      </c>
      <c r="D72" s="86" t="s">
        <v>476</v>
      </c>
      <c r="E72" s="86"/>
      <c r="F72" s="85" t="s">
        <v>477</v>
      </c>
      <c r="G72" s="86" t="s">
        <v>478</v>
      </c>
      <c r="H72" s="86" t="s">
        <v>479</v>
      </c>
      <c r="I72" s="408"/>
      <c r="J72" s="86" t="s">
        <v>320</v>
      </c>
      <c r="K72" s="409" t="s">
        <v>480</v>
      </c>
      <c r="L72" s="410" t="s">
        <v>127</v>
      </c>
      <c r="M72" s="411"/>
      <c r="N72" s="21" t="s">
        <v>65</v>
      </c>
      <c r="O72" s="43" t="str">
        <f t="shared" si="0"/>
        <v>Em</v>
      </c>
      <c r="P72" s="171" t="str">
        <f t="shared" si="1"/>
        <v>Em</v>
      </c>
      <c r="Q72" s="21"/>
      <c r="R72" s="21"/>
      <c r="S72" s="21"/>
      <c r="T72" s="21"/>
      <c r="U72" s="21"/>
      <c r="V72" s="49" t="str">
        <f t="shared" si="8"/>
        <v/>
      </c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</row>
    <row r="73" spans="1:37" ht="27" customHeight="1">
      <c r="A73" s="37">
        <v>64</v>
      </c>
      <c r="B73" s="385" t="s">
        <v>213</v>
      </c>
      <c r="C73" s="85" t="s">
        <v>481</v>
      </c>
      <c r="D73" s="86"/>
      <c r="E73" s="86" t="s">
        <v>377</v>
      </c>
      <c r="F73" s="85" t="s">
        <v>482</v>
      </c>
      <c r="G73" s="86" t="s">
        <v>483</v>
      </c>
      <c r="H73" s="86" t="s">
        <v>484</v>
      </c>
      <c r="I73" s="408"/>
      <c r="J73" s="86" t="s">
        <v>320</v>
      </c>
      <c r="K73" s="409" t="s">
        <v>485</v>
      </c>
      <c r="L73" s="410" t="s">
        <v>127</v>
      </c>
      <c r="M73" s="411"/>
      <c r="N73" s="21" t="s">
        <v>65</v>
      </c>
      <c r="O73" s="43" t="str">
        <f t="shared" si="0"/>
        <v>Lai</v>
      </c>
      <c r="P73" s="171" t="str">
        <f t="shared" si="1"/>
        <v>Lai</v>
      </c>
      <c r="Q73" s="21"/>
      <c r="R73" s="21"/>
      <c r="S73" s="21"/>
      <c r="T73" s="21"/>
      <c r="U73" s="21"/>
      <c r="V73" s="49" t="str">
        <f t="shared" si="8"/>
        <v/>
      </c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</row>
    <row r="74" spans="1:37" ht="27" customHeight="1">
      <c r="A74" s="37">
        <v>65</v>
      </c>
      <c r="B74" s="385" t="s">
        <v>213</v>
      </c>
      <c r="C74" s="85" t="s">
        <v>486</v>
      </c>
      <c r="D74" s="86">
        <v>1996</v>
      </c>
      <c r="E74" s="86"/>
      <c r="F74" s="85" t="s">
        <v>464</v>
      </c>
      <c r="G74" s="86" t="s">
        <v>487</v>
      </c>
      <c r="H74" s="86" t="s">
        <v>488</v>
      </c>
      <c r="I74" s="408"/>
      <c r="J74" s="86" t="s">
        <v>384</v>
      </c>
      <c r="K74" s="409" t="s">
        <v>145</v>
      </c>
      <c r="L74" s="410"/>
      <c r="M74" s="411" t="s">
        <v>324</v>
      </c>
      <c r="N74" s="21" t="s">
        <v>65</v>
      </c>
      <c r="O74" s="43" t="str">
        <f t="shared" si="0"/>
        <v>Tấn</v>
      </c>
      <c r="P74" s="171" t="str">
        <f t="shared" si="1"/>
        <v/>
      </c>
      <c r="Q74" s="21"/>
      <c r="R74" s="21"/>
      <c r="S74" s="21"/>
      <c r="T74" s="21"/>
      <c r="U74" s="21"/>
      <c r="V74" s="49" t="str">
        <f t="shared" si="8"/>
        <v/>
      </c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</row>
    <row r="75" spans="1:37" ht="27" customHeight="1" thickBot="1">
      <c r="A75" s="37">
        <v>66</v>
      </c>
      <c r="B75" s="388" t="s">
        <v>213</v>
      </c>
      <c r="C75" s="369" t="s">
        <v>489</v>
      </c>
      <c r="D75" s="370">
        <v>1962</v>
      </c>
      <c r="E75" s="370"/>
      <c r="F75" s="369" t="s">
        <v>477</v>
      </c>
      <c r="G75" s="370" t="s">
        <v>490</v>
      </c>
      <c r="H75" s="370" t="s">
        <v>491</v>
      </c>
      <c r="I75" s="428"/>
      <c r="J75" s="370"/>
      <c r="K75" s="429"/>
      <c r="L75" s="441"/>
      <c r="M75" s="442" t="s">
        <v>263</v>
      </c>
      <c r="N75" s="21" t="s">
        <v>65</v>
      </c>
      <c r="O75" s="43" t="str">
        <f t="shared" si="0"/>
        <v>Nhớp</v>
      </c>
      <c r="P75" s="171" t="str">
        <f t="shared" si="1"/>
        <v/>
      </c>
      <c r="Q75" s="21"/>
      <c r="R75" s="21"/>
      <c r="S75" s="21"/>
      <c r="T75" s="21"/>
      <c r="U75" s="21"/>
      <c r="V75" s="49" t="str">
        <f t="shared" ref="V75:V107" si="42">CONCATENATE(X75,IF(Y75&lt;&gt;"",", ",""),Y75,IF(Z75&lt;&gt;"",", ",""),Z75,IF(AA75&lt;&gt;"",", ",""),AA75,IF(AB75&lt;&gt;"",", ",""),AB75,IF(AC75&lt;&gt;"",", ",""),AC75,IF(AD75&lt;&gt;"",", ",""),AD75,IF(AE75&lt;&gt;"",", ",""),AE75,IF(AF75&lt;&gt;"",", ",""),AF75,IF(AG75&lt;&gt;"",", ",""),AG75,IF(AH75&lt;&gt;"",", ",""),AH75)</f>
        <v/>
      </c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</row>
    <row r="76" spans="1:37" ht="27" customHeight="1">
      <c r="A76" s="37">
        <v>67</v>
      </c>
      <c r="B76" s="389" t="s">
        <v>220</v>
      </c>
      <c r="C76" s="375" t="s">
        <v>219</v>
      </c>
      <c r="D76" s="376">
        <v>1999</v>
      </c>
      <c r="E76" s="376"/>
      <c r="F76" s="375" t="s">
        <v>492</v>
      </c>
      <c r="G76" s="376" t="s">
        <v>493</v>
      </c>
      <c r="H76" s="376" t="s">
        <v>494</v>
      </c>
      <c r="I76" s="430" t="s">
        <v>495</v>
      </c>
      <c r="J76" s="376" t="s">
        <v>405</v>
      </c>
      <c r="K76" s="431" t="s">
        <v>63</v>
      </c>
      <c r="L76" s="443"/>
      <c r="M76" s="442" t="s">
        <v>263</v>
      </c>
      <c r="N76" s="21" t="s">
        <v>65</v>
      </c>
      <c r="O76" s="43" t="str">
        <f t="shared" si="0"/>
        <v>Khanh</v>
      </c>
      <c r="P76" s="171" t="str">
        <f t="shared" si="1"/>
        <v/>
      </c>
      <c r="Q76" s="21"/>
      <c r="R76" s="21"/>
      <c r="S76" s="21"/>
      <c r="T76" s="21"/>
      <c r="U76" s="21"/>
      <c r="V76" s="49" t="str">
        <f t="shared" si="42"/>
        <v/>
      </c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</row>
    <row r="77" spans="1:37" s="367" customFormat="1" ht="27" customHeight="1">
      <c r="A77" s="37">
        <v>68</v>
      </c>
      <c r="B77" s="390" t="s">
        <v>220</v>
      </c>
      <c r="C77" s="373" t="s">
        <v>838</v>
      </c>
      <c r="D77" s="374" t="s">
        <v>497</v>
      </c>
      <c r="E77" s="374"/>
      <c r="F77" s="373" t="s">
        <v>839</v>
      </c>
      <c r="G77" s="374" t="s">
        <v>840</v>
      </c>
      <c r="H77" s="374" t="s">
        <v>841</v>
      </c>
      <c r="I77" s="433" t="s">
        <v>844</v>
      </c>
      <c r="J77" s="374" t="s">
        <v>837</v>
      </c>
      <c r="K77" s="434"/>
      <c r="L77" s="443" t="s">
        <v>127</v>
      </c>
      <c r="M77" s="444"/>
      <c r="N77" s="21" t="s">
        <v>65</v>
      </c>
      <c r="O77" s="43" t="str">
        <f t="shared" ref="O77" si="43">TRIM(RIGHT(SUBSTITUTE(C77," ",REPT(" ",255)),255))</f>
        <v>Kha</v>
      </c>
      <c r="P77" s="171" t="str">
        <f t="shared" ref="P77" si="44">IF(L77="x",O77,"")</f>
        <v>Kha</v>
      </c>
      <c r="Q77" s="21"/>
      <c r="R77" s="21"/>
      <c r="S77" s="21"/>
      <c r="T77" s="21"/>
      <c r="U77" s="21"/>
      <c r="V77" s="49" t="str">
        <f t="shared" si="42"/>
        <v/>
      </c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</row>
    <row r="78" spans="1:37" ht="27" customHeight="1" thickBot="1">
      <c r="A78" s="37">
        <v>69</v>
      </c>
      <c r="B78" s="391" t="s">
        <v>220</v>
      </c>
      <c r="C78" s="377" t="s">
        <v>496</v>
      </c>
      <c r="D78" s="378"/>
      <c r="E78" s="378" t="s">
        <v>497</v>
      </c>
      <c r="F78" s="377" t="s">
        <v>498</v>
      </c>
      <c r="G78" s="378" t="s">
        <v>499</v>
      </c>
      <c r="H78" s="378" t="s">
        <v>500</v>
      </c>
      <c r="I78" s="437"/>
      <c r="J78" s="378" t="s">
        <v>501</v>
      </c>
      <c r="K78" s="438"/>
      <c r="L78" s="443"/>
      <c r="M78" s="444" t="s">
        <v>775</v>
      </c>
      <c r="N78" s="21" t="s">
        <v>65</v>
      </c>
      <c r="O78" s="43" t="str">
        <f t="shared" si="0"/>
        <v>Duyên</v>
      </c>
      <c r="P78" s="171" t="str">
        <f t="shared" si="1"/>
        <v/>
      </c>
      <c r="Q78" s="21"/>
      <c r="R78" s="21"/>
      <c r="S78" s="21"/>
      <c r="T78" s="21"/>
      <c r="U78" s="21"/>
      <c r="V78" s="49" t="str">
        <f t="shared" si="42"/>
        <v/>
      </c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</row>
    <row r="79" spans="1:37" ht="27" customHeight="1">
      <c r="A79" s="37">
        <v>70</v>
      </c>
      <c r="B79" s="392" t="s">
        <v>226</v>
      </c>
      <c r="C79" s="371" t="s">
        <v>225</v>
      </c>
      <c r="D79" s="372">
        <v>1971</v>
      </c>
      <c r="E79" s="372"/>
      <c r="F79" s="371" t="s">
        <v>502</v>
      </c>
      <c r="G79" s="372" t="s">
        <v>503</v>
      </c>
      <c r="H79" s="372" t="s">
        <v>504</v>
      </c>
      <c r="I79" s="439" t="s">
        <v>505</v>
      </c>
      <c r="J79" s="372"/>
      <c r="K79" s="440" t="s">
        <v>63</v>
      </c>
      <c r="L79" s="445" t="s">
        <v>64</v>
      </c>
      <c r="M79" s="446"/>
      <c r="N79" s="21" t="s">
        <v>65</v>
      </c>
      <c r="O79" s="43" t="str">
        <f t="shared" si="0"/>
        <v>Mạnh</v>
      </c>
      <c r="P79" s="171" t="str">
        <f t="shared" si="1"/>
        <v>Mạnh</v>
      </c>
      <c r="Q79" s="21"/>
      <c r="R79" s="21"/>
      <c r="S79" s="21"/>
      <c r="T79" s="21"/>
      <c r="U79" s="21"/>
      <c r="V79" s="49" t="str">
        <f t="shared" si="42"/>
        <v/>
      </c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</row>
    <row r="80" spans="1:37" ht="27" customHeight="1">
      <c r="A80" s="37">
        <v>71</v>
      </c>
      <c r="B80" s="385" t="s">
        <v>226</v>
      </c>
      <c r="C80" s="85" t="s">
        <v>506</v>
      </c>
      <c r="D80" s="86"/>
      <c r="E80" s="86">
        <v>1973</v>
      </c>
      <c r="F80" s="85" t="s">
        <v>507</v>
      </c>
      <c r="G80" s="86" t="s">
        <v>508</v>
      </c>
      <c r="H80" s="86" t="s">
        <v>509</v>
      </c>
      <c r="I80" s="408" t="s">
        <v>510</v>
      </c>
      <c r="J80" s="86"/>
      <c r="K80" s="409" t="s">
        <v>114</v>
      </c>
      <c r="L80" s="410" t="s">
        <v>64</v>
      </c>
      <c r="M80" s="411"/>
      <c r="N80" s="21" t="s">
        <v>65</v>
      </c>
      <c r="O80" s="43" t="str">
        <f t="shared" si="0"/>
        <v>Tuyết</v>
      </c>
      <c r="P80" s="171" t="str">
        <f t="shared" si="1"/>
        <v>Tuyết</v>
      </c>
      <c r="Q80" s="21"/>
      <c r="R80" s="21"/>
      <c r="S80" s="21"/>
      <c r="T80" s="21"/>
      <c r="U80" s="21"/>
      <c r="V80" s="49" t="str">
        <f t="shared" si="42"/>
        <v/>
      </c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</row>
    <row r="81" spans="1:37" ht="27" customHeight="1">
      <c r="A81" s="37">
        <v>72</v>
      </c>
      <c r="B81" s="385" t="s">
        <v>226</v>
      </c>
      <c r="C81" s="85" t="s">
        <v>511</v>
      </c>
      <c r="D81" s="86">
        <v>1995</v>
      </c>
      <c r="E81" s="86"/>
      <c r="F81" s="85" t="s">
        <v>507</v>
      </c>
      <c r="G81" s="86" t="s">
        <v>512</v>
      </c>
      <c r="H81" s="86" t="s">
        <v>513</v>
      </c>
      <c r="I81" s="408"/>
      <c r="J81" s="86"/>
      <c r="K81" s="409" t="s">
        <v>145</v>
      </c>
      <c r="L81" s="410" t="s">
        <v>64</v>
      </c>
      <c r="M81" s="411"/>
      <c r="N81" s="21" t="s">
        <v>65</v>
      </c>
      <c r="O81" s="43" t="str">
        <f t="shared" si="0"/>
        <v>Thuận</v>
      </c>
      <c r="P81" s="171" t="str">
        <f t="shared" si="1"/>
        <v>Thuận</v>
      </c>
      <c r="Q81" s="21"/>
      <c r="R81" s="21"/>
      <c r="S81" s="21"/>
      <c r="T81" s="21"/>
      <c r="U81" s="21"/>
      <c r="V81" s="49" t="str">
        <f t="shared" si="42"/>
        <v/>
      </c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</row>
    <row r="82" spans="1:37" ht="27" customHeight="1">
      <c r="A82" s="37">
        <v>73</v>
      </c>
      <c r="B82" s="385" t="s">
        <v>226</v>
      </c>
      <c r="C82" s="85" t="s">
        <v>514</v>
      </c>
      <c r="D82" s="86">
        <v>1996</v>
      </c>
      <c r="E82" s="86"/>
      <c r="F82" s="85" t="s">
        <v>507</v>
      </c>
      <c r="G82" s="86" t="s">
        <v>515</v>
      </c>
      <c r="H82" s="86" t="s">
        <v>516</v>
      </c>
      <c r="I82" s="408"/>
      <c r="J82" s="86"/>
      <c r="K82" s="409" t="s">
        <v>145</v>
      </c>
      <c r="L82" s="410" t="s">
        <v>64</v>
      </c>
      <c r="M82" s="411"/>
      <c r="N82" s="21" t="s">
        <v>65</v>
      </c>
      <c r="O82" s="43" t="str">
        <f t="shared" si="0"/>
        <v>Hòa</v>
      </c>
      <c r="P82" s="171" t="str">
        <f t="shared" si="1"/>
        <v>Hòa</v>
      </c>
      <c r="Q82" s="21"/>
      <c r="R82" s="21"/>
      <c r="S82" s="21"/>
      <c r="T82" s="21"/>
      <c r="U82" s="21"/>
      <c r="V82" s="49" t="str">
        <f t="shared" si="42"/>
        <v/>
      </c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</row>
    <row r="83" spans="1:37" ht="27" customHeight="1">
      <c r="A83" s="37">
        <v>74</v>
      </c>
      <c r="B83" s="385" t="s">
        <v>226</v>
      </c>
      <c r="C83" s="85" t="s">
        <v>517</v>
      </c>
      <c r="D83" s="86"/>
      <c r="E83" s="86">
        <v>2000</v>
      </c>
      <c r="F83" s="85" t="s">
        <v>507</v>
      </c>
      <c r="G83" s="86" t="s">
        <v>518</v>
      </c>
      <c r="H83" s="86" t="s">
        <v>519</v>
      </c>
      <c r="I83" s="408"/>
      <c r="J83" s="86"/>
      <c r="K83" s="409" t="s">
        <v>145</v>
      </c>
      <c r="L83" s="410" t="s">
        <v>64</v>
      </c>
      <c r="M83" s="411"/>
      <c r="N83" s="21" t="s">
        <v>65</v>
      </c>
      <c r="O83" s="43" t="str">
        <f t="shared" si="0"/>
        <v>Thảo</v>
      </c>
      <c r="P83" s="171" t="str">
        <f t="shared" si="1"/>
        <v>Thảo</v>
      </c>
      <c r="Q83" s="21"/>
      <c r="R83" s="21"/>
      <c r="S83" s="21"/>
      <c r="T83" s="21"/>
      <c r="U83" s="21"/>
      <c r="V83" s="49" t="str">
        <f t="shared" si="42"/>
        <v/>
      </c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</row>
    <row r="84" spans="1:37" ht="27" customHeight="1">
      <c r="A84" s="37">
        <v>75</v>
      </c>
      <c r="B84" s="385" t="s">
        <v>226</v>
      </c>
      <c r="C84" s="85" t="s">
        <v>520</v>
      </c>
      <c r="D84" s="86"/>
      <c r="E84" s="86" t="s">
        <v>521</v>
      </c>
      <c r="F84" s="85" t="s">
        <v>522</v>
      </c>
      <c r="G84" s="86" t="s">
        <v>523</v>
      </c>
      <c r="H84" s="86" t="s">
        <v>524</v>
      </c>
      <c r="I84" s="408"/>
      <c r="J84" s="86" t="s">
        <v>525</v>
      </c>
      <c r="K84" s="409" t="s">
        <v>325</v>
      </c>
      <c r="L84" s="410"/>
      <c r="M84" s="447" t="s">
        <v>837</v>
      </c>
      <c r="N84" s="21" t="s">
        <v>65</v>
      </c>
      <c r="O84" s="43" t="str">
        <f t="shared" si="0"/>
        <v>Lý</v>
      </c>
      <c r="P84" s="171" t="str">
        <f t="shared" si="1"/>
        <v/>
      </c>
      <c r="Q84" s="21"/>
      <c r="R84" s="21"/>
      <c r="S84" s="21"/>
      <c r="T84" s="21"/>
      <c r="U84" s="21"/>
      <c r="V84" s="49" t="str">
        <f t="shared" si="42"/>
        <v/>
      </c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</row>
    <row r="85" spans="1:37" ht="27" customHeight="1" thickBot="1">
      <c r="A85" s="37">
        <v>76</v>
      </c>
      <c r="B85" s="386" t="s">
        <v>226</v>
      </c>
      <c r="C85" s="99" t="s">
        <v>526</v>
      </c>
      <c r="D85" s="100"/>
      <c r="E85" s="100">
        <v>1939</v>
      </c>
      <c r="F85" s="99" t="s">
        <v>507</v>
      </c>
      <c r="G85" s="100" t="s">
        <v>527</v>
      </c>
      <c r="H85" s="100" t="s">
        <v>528</v>
      </c>
      <c r="I85" s="412"/>
      <c r="J85" s="100"/>
      <c r="K85" s="413" t="s">
        <v>529</v>
      </c>
      <c r="L85" s="414" t="s">
        <v>64</v>
      </c>
      <c r="M85" s="415"/>
      <c r="N85" s="21" t="s">
        <v>65</v>
      </c>
      <c r="O85" s="43" t="str">
        <f t="shared" si="0"/>
        <v>Xuyến</v>
      </c>
      <c r="P85" s="171" t="str">
        <f t="shared" si="1"/>
        <v>Xuyến</v>
      </c>
      <c r="Q85" s="21"/>
      <c r="R85" s="21"/>
      <c r="S85" s="21"/>
      <c r="T85" s="21"/>
      <c r="U85" s="21"/>
      <c r="V85" s="49" t="str">
        <f t="shared" si="42"/>
        <v/>
      </c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</row>
    <row r="86" spans="1:37" ht="27" customHeight="1">
      <c r="A86" s="37">
        <v>77</v>
      </c>
      <c r="B86" s="387" t="s">
        <v>234</v>
      </c>
      <c r="C86" s="112" t="s">
        <v>732</v>
      </c>
      <c r="D86" s="113" t="s">
        <v>749</v>
      </c>
      <c r="E86" s="113"/>
      <c r="F86" s="112" t="s">
        <v>750</v>
      </c>
      <c r="G86" s="113" t="s">
        <v>751</v>
      </c>
      <c r="H86" s="113" t="s">
        <v>752</v>
      </c>
      <c r="I86" s="416" t="s">
        <v>763</v>
      </c>
      <c r="J86" s="113" t="s">
        <v>753</v>
      </c>
      <c r="K86" s="417" t="s">
        <v>530</v>
      </c>
      <c r="L86" s="418" t="s">
        <v>64</v>
      </c>
      <c r="M86" s="419"/>
      <c r="N86" s="21" t="s">
        <v>65</v>
      </c>
      <c r="O86" s="43" t="str">
        <f t="shared" si="0"/>
        <v>Trí</v>
      </c>
      <c r="P86" s="171" t="str">
        <f t="shared" si="1"/>
        <v>Trí</v>
      </c>
      <c r="Q86" s="21"/>
      <c r="R86" s="21"/>
      <c r="S86" s="21"/>
      <c r="T86" s="21"/>
      <c r="U86" s="21"/>
      <c r="V86" s="49" t="str">
        <f t="shared" si="42"/>
        <v/>
      </c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</row>
    <row r="87" spans="1:37" s="228" customFormat="1" ht="27" customHeight="1" thickBot="1">
      <c r="A87" s="37">
        <v>78</v>
      </c>
      <c r="B87" s="388" t="s">
        <v>234</v>
      </c>
      <c r="C87" s="234" t="s">
        <v>754</v>
      </c>
      <c r="D87" s="235"/>
      <c r="E87" s="235" t="s">
        <v>755</v>
      </c>
      <c r="F87" s="234" t="s">
        <v>756</v>
      </c>
      <c r="G87" s="235" t="s">
        <v>757</v>
      </c>
      <c r="H87" s="235" t="s">
        <v>758</v>
      </c>
      <c r="I87" s="448"/>
      <c r="J87" s="400" t="s">
        <v>753</v>
      </c>
      <c r="K87" s="449" t="s">
        <v>114</v>
      </c>
      <c r="L87" s="450" t="s">
        <v>64</v>
      </c>
      <c r="M87" s="451"/>
      <c r="N87" s="21" t="s">
        <v>65</v>
      </c>
      <c r="O87" s="43" t="str">
        <f t="shared" ref="O87" si="45">TRIM(RIGHT(SUBSTITUTE(C87," ",REPT(" ",255)),255))</f>
        <v>Lan</v>
      </c>
      <c r="P87" s="171" t="str">
        <f t="shared" ref="P87" si="46">IF(L87="x",O87,"")</f>
        <v>Lan</v>
      </c>
      <c r="Q87" s="21"/>
      <c r="R87" s="21"/>
      <c r="S87" s="21"/>
      <c r="T87" s="21"/>
      <c r="U87" s="21"/>
      <c r="V87" s="49" t="str">
        <f t="shared" si="42"/>
        <v/>
      </c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</row>
    <row r="88" spans="1:37" ht="27" customHeight="1" thickBot="1">
      <c r="A88" s="37">
        <v>79</v>
      </c>
      <c r="B88" s="393" t="s">
        <v>241</v>
      </c>
      <c r="C88" s="236" t="s">
        <v>730</v>
      </c>
      <c r="D88" s="237" t="s">
        <v>497</v>
      </c>
      <c r="E88" s="237"/>
      <c r="F88" s="236" t="s">
        <v>759</v>
      </c>
      <c r="G88" s="452" t="s">
        <v>760</v>
      </c>
      <c r="H88" s="236" t="s">
        <v>761</v>
      </c>
      <c r="I88" s="453" t="s">
        <v>764</v>
      </c>
      <c r="J88" s="236" t="s">
        <v>765</v>
      </c>
      <c r="K88" s="454" t="s">
        <v>63</v>
      </c>
      <c r="L88" s="455" t="s">
        <v>64</v>
      </c>
      <c r="M88" s="456"/>
      <c r="N88" s="21" t="s">
        <v>65</v>
      </c>
      <c r="O88" s="43" t="str">
        <f t="shared" si="0"/>
        <v>Thịnh</v>
      </c>
      <c r="P88" s="171" t="str">
        <f t="shared" si="1"/>
        <v>Thịnh</v>
      </c>
      <c r="Q88" s="21"/>
      <c r="R88" s="21"/>
      <c r="S88" s="21"/>
      <c r="T88" s="21"/>
      <c r="U88" s="21"/>
      <c r="V88" s="49" t="str">
        <f t="shared" si="42"/>
        <v/>
      </c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</row>
    <row r="89" spans="1:37" ht="27" customHeight="1">
      <c r="A89" s="37">
        <v>80</v>
      </c>
      <c r="B89" s="387" t="s">
        <v>247</v>
      </c>
      <c r="C89" s="112" t="s">
        <v>246</v>
      </c>
      <c r="D89" s="113">
        <v>1982</v>
      </c>
      <c r="E89" s="113"/>
      <c r="F89" s="112" t="s">
        <v>531</v>
      </c>
      <c r="G89" s="113" t="s">
        <v>532</v>
      </c>
      <c r="H89" s="113"/>
      <c r="I89" s="416" t="s">
        <v>533</v>
      </c>
      <c r="J89" s="113" t="s">
        <v>534</v>
      </c>
      <c r="K89" s="417" t="s">
        <v>63</v>
      </c>
      <c r="L89" s="418" t="s">
        <v>64</v>
      </c>
      <c r="M89" s="419"/>
      <c r="N89" s="21" t="s">
        <v>65</v>
      </c>
      <c r="O89" s="43" t="str">
        <f t="shared" si="0"/>
        <v>Minh</v>
      </c>
      <c r="P89" s="171" t="str">
        <f t="shared" si="1"/>
        <v>Minh</v>
      </c>
      <c r="Q89" s="21"/>
      <c r="R89" s="21"/>
      <c r="S89" s="21"/>
      <c r="T89" s="21"/>
      <c r="U89" s="21"/>
      <c r="V89" s="49" t="str">
        <f t="shared" si="42"/>
        <v/>
      </c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</row>
    <row r="90" spans="1:37" s="303" customFormat="1" ht="27" customHeight="1">
      <c r="A90" s="37">
        <v>81</v>
      </c>
      <c r="B90" s="385" t="s">
        <v>247</v>
      </c>
      <c r="C90" s="119" t="s">
        <v>770</v>
      </c>
      <c r="D90" s="121" t="s">
        <v>771</v>
      </c>
      <c r="E90" s="121"/>
      <c r="F90" s="119" t="s">
        <v>772</v>
      </c>
      <c r="G90" s="121" t="s">
        <v>773</v>
      </c>
      <c r="H90" s="121" t="s">
        <v>774</v>
      </c>
      <c r="I90" s="420"/>
      <c r="J90" s="121" t="s">
        <v>775</v>
      </c>
      <c r="K90" s="421" t="s">
        <v>325</v>
      </c>
      <c r="L90" s="422" t="s">
        <v>127</v>
      </c>
      <c r="M90" s="423"/>
      <c r="N90" s="21" t="s">
        <v>65</v>
      </c>
      <c r="O90" s="43" t="str">
        <f t="shared" ref="O90:O91" si="47">TRIM(RIGHT(SUBSTITUTE(C90," ",REPT(" ",255)),255))</f>
        <v>Diện</v>
      </c>
      <c r="P90" s="171" t="str">
        <f t="shared" ref="P90:P91" si="48">IF(L90="x",O90,"")</f>
        <v>Diện</v>
      </c>
      <c r="Q90" s="21"/>
      <c r="R90" s="21"/>
      <c r="S90" s="21"/>
      <c r="T90" s="21"/>
      <c r="U90" s="21"/>
      <c r="V90" s="49" t="str">
        <f t="shared" si="42"/>
        <v/>
      </c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</row>
    <row r="91" spans="1:37" s="367" customFormat="1" ht="27" customHeight="1">
      <c r="A91" s="37">
        <v>82</v>
      </c>
      <c r="B91" s="385" t="s">
        <v>247</v>
      </c>
      <c r="C91" s="119" t="s">
        <v>833</v>
      </c>
      <c r="D91" s="121" t="s">
        <v>834</v>
      </c>
      <c r="E91" s="121"/>
      <c r="F91" s="119" t="s">
        <v>772</v>
      </c>
      <c r="G91" s="121" t="s">
        <v>835</v>
      </c>
      <c r="H91" s="121" t="s">
        <v>836</v>
      </c>
      <c r="I91" s="420"/>
      <c r="J91" s="121" t="s">
        <v>837</v>
      </c>
      <c r="K91" s="421" t="s">
        <v>630</v>
      </c>
      <c r="L91" s="422" t="s">
        <v>127</v>
      </c>
      <c r="M91" s="423"/>
      <c r="N91" s="21" t="s">
        <v>65</v>
      </c>
      <c r="O91" s="43" t="str">
        <f t="shared" si="47"/>
        <v>Đầy</v>
      </c>
      <c r="P91" s="171" t="str">
        <f t="shared" si="48"/>
        <v>Đầy</v>
      </c>
      <c r="Q91" s="21"/>
      <c r="R91" s="21"/>
      <c r="S91" s="21"/>
      <c r="T91" s="21"/>
      <c r="U91" s="21"/>
      <c r="V91" s="49" t="str">
        <f t="shared" si="42"/>
        <v/>
      </c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</row>
    <row r="92" spans="1:37" ht="27" customHeight="1">
      <c r="A92" s="37">
        <v>83</v>
      </c>
      <c r="B92" s="385" t="s">
        <v>247</v>
      </c>
      <c r="C92" s="119" t="s">
        <v>535</v>
      </c>
      <c r="D92" s="121">
        <v>1977</v>
      </c>
      <c r="E92" s="121"/>
      <c r="F92" s="119" t="s">
        <v>536</v>
      </c>
      <c r="G92" s="121" t="s">
        <v>537</v>
      </c>
      <c r="H92" s="121" t="s">
        <v>538</v>
      </c>
      <c r="I92" s="420"/>
      <c r="J92" s="121"/>
      <c r="K92" s="421"/>
      <c r="L92" s="422"/>
      <c r="M92" s="423" t="s">
        <v>324</v>
      </c>
      <c r="N92" s="21" t="s">
        <v>65</v>
      </c>
      <c r="O92" s="43" t="str">
        <f t="shared" si="0"/>
        <v>Biền</v>
      </c>
      <c r="P92" s="171" t="str">
        <f t="shared" si="1"/>
        <v/>
      </c>
      <c r="Q92" s="21"/>
      <c r="R92" s="21"/>
      <c r="S92" s="21"/>
      <c r="T92" s="21"/>
      <c r="U92" s="21"/>
      <c r="V92" s="49" t="str">
        <f t="shared" si="42"/>
        <v/>
      </c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</row>
    <row r="93" spans="1:37" ht="27" customHeight="1">
      <c r="A93" s="37">
        <v>84</v>
      </c>
      <c r="B93" s="385" t="s">
        <v>247</v>
      </c>
      <c r="C93" s="119" t="s">
        <v>539</v>
      </c>
      <c r="D93" s="121">
        <v>1984</v>
      </c>
      <c r="E93" s="121"/>
      <c r="F93" s="119" t="s">
        <v>540</v>
      </c>
      <c r="G93" s="121" t="s">
        <v>541</v>
      </c>
      <c r="H93" s="121" t="s">
        <v>542</v>
      </c>
      <c r="I93" s="420"/>
      <c r="J93" s="121"/>
      <c r="K93" s="421"/>
      <c r="L93" s="422"/>
      <c r="M93" s="423" t="s">
        <v>263</v>
      </c>
      <c r="N93" s="21" t="s">
        <v>65</v>
      </c>
      <c r="O93" s="43" t="str">
        <f t="shared" si="0"/>
        <v>Quân</v>
      </c>
      <c r="P93" s="171" t="str">
        <f t="shared" si="1"/>
        <v/>
      </c>
      <c r="Q93" s="21"/>
      <c r="R93" s="21"/>
      <c r="S93" s="21"/>
      <c r="T93" s="21"/>
      <c r="U93" s="21"/>
      <c r="V93" s="49" t="str">
        <f t="shared" si="42"/>
        <v/>
      </c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</row>
    <row r="94" spans="1:37" ht="27" customHeight="1">
      <c r="A94" s="37">
        <v>85</v>
      </c>
      <c r="B94" s="385" t="s">
        <v>247</v>
      </c>
      <c r="C94" s="119" t="s">
        <v>543</v>
      </c>
      <c r="D94" s="121"/>
      <c r="E94" s="121">
        <v>1985</v>
      </c>
      <c r="F94" s="119" t="s">
        <v>544</v>
      </c>
      <c r="G94" s="121" t="s">
        <v>545</v>
      </c>
      <c r="H94" s="121" t="s">
        <v>546</v>
      </c>
      <c r="I94" s="420"/>
      <c r="J94" s="121"/>
      <c r="K94" s="421"/>
      <c r="L94" s="422"/>
      <c r="M94" s="423" t="s">
        <v>263</v>
      </c>
      <c r="N94" s="21" t="s">
        <v>65</v>
      </c>
      <c r="O94" s="43" t="str">
        <f t="shared" si="0"/>
        <v>Thảo</v>
      </c>
      <c r="P94" s="171" t="str">
        <f t="shared" si="1"/>
        <v/>
      </c>
      <c r="Q94" s="21"/>
      <c r="R94" s="21"/>
      <c r="S94" s="21"/>
      <c r="T94" s="21"/>
      <c r="U94" s="21"/>
      <c r="V94" s="49" t="str">
        <f t="shared" si="42"/>
        <v/>
      </c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</row>
    <row r="95" spans="1:37" ht="27" customHeight="1" thickBot="1">
      <c r="A95" s="37">
        <v>86</v>
      </c>
      <c r="B95" s="388" t="s">
        <v>247</v>
      </c>
      <c r="C95" s="163" t="s">
        <v>547</v>
      </c>
      <c r="D95" s="164">
        <v>1978</v>
      </c>
      <c r="E95" s="164"/>
      <c r="F95" s="163" t="s">
        <v>536</v>
      </c>
      <c r="G95" s="164" t="s">
        <v>548</v>
      </c>
      <c r="H95" s="164" t="s">
        <v>549</v>
      </c>
      <c r="I95" s="424"/>
      <c r="J95" s="164"/>
      <c r="K95" s="425"/>
      <c r="L95" s="426"/>
      <c r="M95" s="427" t="s">
        <v>263</v>
      </c>
      <c r="N95" s="21" t="s">
        <v>65</v>
      </c>
      <c r="O95" s="43" t="str">
        <f t="shared" si="0"/>
        <v>Dũng</v>
      </c>
      <c r="P95" s="171" t="str">
        <f t="shared" si="1"/>
        <v/>
      </c>
      <c r="Q95" s="21"/>
      <c r="R95" s="21"/>
      <c r="S95" s="21"/>
      <c r="T95" s="21"/>
      <c r="U95" s="21"/>
      <c r="V95" s="49" t="str">
        <f t="shared" si="42"/>
        <v/>
      </c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</row>
    <row r="96" spans="1:37" ht="27" customHeight="1" thickBot="1">
      <c r="A96" s="37">
        <v>87</v>
      </c>
      <c r="B96" s="389" t="s">
        <v>254</v>
      </c>
      <c r="C96" s="337" t="s">
        <v>550</v>
      </c>
      <c r="D96" s="338" t="s">
        <v>551</v>
      </c>
      <c r="E96" s="338"/>
      <c r="F96" s="337" t="s">
        <v>552</v>
      </c>
      <c r="G96" s="338" t="s">
        <v>553</v>
      </c>
      <c r="H96" s="338" t="s">
        <v>554</v>
      </c>
      <c r="I96" s="457" t="s">
        <v>555</v>
      </c>
      <c r="J96" s="338" t="s">
        <v>501</v>
      </c>
      <c r="K96" s="458" t="s">
        <v>63</v>
      </c>
      <c r="L96" s="459" t="s">
        <v>64</v>
      </c>
      <c r="M96" s="407"/>
      <c r="N96" s="21" t="s">
        <v>65</v>
      </c>
      <c r="O96" s="43" t="str">
        <f t="shared" si="0"/>
        <v>Nam</v>
      </c>
      <c r="P96" s="171" t="str">
        <f t="shared" si="1"/>
        <v>Nam</v>
      </c>
      <c r="Q96" s="21"/>
      <c r="R96" s="21"/>
      <c r="S96" s="21"/>
      <c r="T96" s="21"/>
      <c r="U96" s="21"/>
      <c r="V96" s="49" t="str">
        <f t="shared" si="42"/>
        <v/>
      </c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</row>
    <row r="97" spans="1:37" ht="27" customHeight="1" thickBot="1">
      <c r="A97" s="37">
        <v>88</v>
      </c>
      <c r="B97" s="390" t="s">
        <v>254</v>
      </c>
      <c r="C97" s="335" t="s">
        <v>253</v>
      </c>
      <c r="D97" s="336"/>
      <c r="E97" s="336" t="s">
        <v>556</v>
      </c>
      <c r="F97" s="335" t="s">
        <v>557</v>
      </c>
      <c r="G97" s="336" t="s">
        <v>558</v>
      </c>
      <c r="H97" s="336" t="s">
        <v>559</v>
      </c>
      <c r="I97" s="460" t="s">
        <v>560</v>
      </c>
      <c r="J97" s="336" t="s">
        <v>501</v>
      </c>
      <c r="K97" s="461" t="s">
        <v>114</v>
      </c>
      <c r="L97" s="459" t="s">
        <v>64</v>
      </c>
      <c r="M97" s="411"/>
      <c r="N97" s="21" t="s">
        <v>65</v>
      </c>
      <c r="O97" s="43" t="str">
        <f t="shared" si="0"/>
        <v>Hồng</v>
      </c>
      <c r="P97" s="171" t="str">
        <f t="shared" si="1"/>
        <v>Hồng</v>
      </c>
      <c r="Q97" s="21"/>
      <c r="R97" s="21"/>
      <c r="S97" s="21"/>
      <c r="T97" s="21"/>
      <c r="U97" s="21"/>
      <c r="V97" s="49" t="str">
        <f t="shared" si="42"/>
        <v/>
      </c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</row>
    <row r="98" spans="1:37" ht="27" customHeight="1" thickBot="1">
      <c r="A98" s="37">
        <v>89</v>
      </c>
      <c r="B98" s="391" t="s">
        <v>254</v>
      </c>
      <c r="C98" s="339" t="s">
        <v>561</v>
      </c>
      <c r="D98" s="340"/>
      <c r="E98" s="340" t="s">
        <v>562</v>
      </c>
      <c r="F98" s="339" t="s">
        <v>557</v>
      </c>
      <c r="G98" s="340" t="s">
        <v>64</v>
      </c>
      <c r="H98" s="340"/>
      <c r="I98" s="462" t="s">
        <v>845</v>
      </c>
      <c r="J98" s="340" t="s">
        <v>501</v>
      </c>
      <c r="K98" s="463" t="s">
        <v>145</v>
      </c>
      <c r="L98" s="459" t="s">
        <v>64</v>
      </c>
      <c r="M98" s="411"/>
      <c r="N98" s="21" t="s">
        <v>65</v>
      </c>
      <c r="O98" s="43" t="str">
        <f t="shared" si="0"/>
        <v>Trân</v>
      </c>
      <c r="P98" s="171" t="str">
        <f t="shared" si="1"/>
        <v>Trân</v>
      </c>
      <c r="Q98" s="21"/>
      <c r="R98" s="21"/>
      <c r="S98" s="21"/>
      <c r="T98" s="21"/>
      <c r="U98" s="21"/>
      <c r="V98" s="49" t="str">
        <f t="shared" si="42"/>
        <v/>
      </c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</row>
    <row r="99" spans="1:37" ht="27" customHeight="1" thickBot="1">
      <c r="A99" s="37">
        <v>90</v>
      </c>
      <c r="B99" s="394" t="s">
        <v>258</v>
      </c>
      <c r="C99" s="168" t="s">
        <v>257</v>
      </c>
      <c r="D99" s="169" t="s">
        <v>563</v>
      </c>
      <c r="E99" s="169"/>
      <c r="F99" s="168"/>
      <c r="G99" s="169" t="s">
        <v>64</v>
      </c>
      <c r="H99" s="169"/>
      <c r="I99" s="464" t="s">
        <v>564</v>
      </c>
      <c r="J99" s="169"/>
      <c r="K99" s="465" t="s">
        <v>63</v>
      </c>
      <c r="L99" s="466"/>
      <c r="M99" s="447" t="s">
        <v>775</v>
      </c>
      <c r="N99" s="21" t="s">
        <v>65</v>
      </c>
      <c r="O99" s="43" t="str">
        <f t="shared" si="0"/>
        <v>Phước</v>
      </c>
      <c r="P99" s="171" t="str">
        <f t="shared" si="1"/>
        <v/>
      </c>
      <c r="Q99" s="21"/>
      <c r="R99" s="21"/>
      <c r="S99" s="21"/>
      <c r="T99" s="21"/>
      <c r="U99" s="21"/>
      <c r="V99" s="49" t="str">
        <f t="shared" si="42"/>
        <v/>
      </c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</row>
    <row r="100" spans="1:37" ht="27" customHeight="1">
      <c r="A100" s="37">
        <v>91</v>
      </c>
      <c r="B100" s="384" t="s">
        <v>267</v>
      </c>
      <c r="C100" s="39" t="s">
        <v>266</v>
      </c>
      <c r="D100" s="40"/>
      <c r="E100" s="40">
        <v>1969</v>
      </c>
      <c r="F100" s="39" t="s">
        <v>565</v>
      </c>
      <c r="G100" s="40" t="s">
        <v>566</v>
      </c>
      <c r="H100" s="40" t="s">
        <v>567</v>
      </c>
      <c r="I100" s="404" t="s">
        <v>568</v>
      </c>
      <c r="J100" s="40" t="s">
        <v>405</v>
      </c>
      <c r="K100" s="405" t="s">
        <v>63</v>
      </c>
      <c r="L100" s="406"/>
      <c r="M100" s="407" t="s">
        <v>775</v>
      </c>
      <c r="N100" s="21" t="s">
        <v>65</v>
      </c>
      <c r="O100" s="43" t="str">
        <f t="shared" si="0"/>
        <v>Ái</v>
      </c>
      <c r="P100" s="171" t="str">
        <f t="shared" si="1"/>
        <v/>
      </c>
      <c r="Q100" s="21"/>
      <c r="R100" s="21"/>
      <c r="S100" s="21"/>
      <c r="T100" s="21"/>
      <c r="U100" s="21"/>
      <c r="V100" s="49" t="str">
        <f t="shared" si="42"/>
        <v/>
      </c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</row>
    <row r="101" spans="1:37" ht="27" customHeight="1">
      <c r="A101" s="37">
        <v>92</v>
      </c>
      <c r="B101" s="385" t="s">
        <v>267</v>
      </c>
      <c r="C101" s="85" t="s">
        <v>569</v>
      </c>
      <c r="D101" s="86">
        <v>1969</v>
      </c>
      <c r="E101" s="86"/>
      <c r="F101" s="85" t="s">
        <v>570</v>
      </c>
      <c r="G101" s="86" t="s">
        <v>571</v>
      </c>
      <c r="H101" s="86" t="s">
        <v>572</v>
      </c>
      <c r="I101" s="408" t="s">
        <v>573</v>
      </c>
      <c r="J101" s="86" t="s">
        <v>405</v>
      </c>
      <c r="K101" s="409" t="s">
        <v>530</v>
      </c>
      <c r="L101" s="410"/>
      <c r="M101" s="411" t="s">
        <v>775</v>
      </c>
      <c r="N101" s="21" t="s">
        <v>65</v>
      </c>
      <c r="O101" s="43" t="str">
        <f t="shared" si="0"/>
        <v>Yêm</v>
      </c>
      <c r="P101" s="171" t="str">
        <f t="shared" si="1"/>
        <v/>
      </c>
      <c r="Q101" s="21"/>
      <c r="R101" s="21"/>
      <c r="S101" s="21"/>
      <c r="T101" s="21"/>
      <c r="U101" s="21"/>
      <c r="V101" s="49" t="str">
        <f t="shared" si="42"/>
        <v/>
      </c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</row>
    <row r="102" spans="1:37" ht="27" customHeight="1">
      <c r="A102" s="37">
        <v>93</v>
      </c>
      <c r="B102" s="385" t="s">
        <v>267</v>
      </c>
      <c r="C102" s="85" t="s">
        <v>574</v>
      </c>
      <c r="D102" s="86"/>
      <c r="E102" s="86">
        <v>1986</v>
      </c>
      <c r="F102" s="85" t="s">
        <v>565</v>
      </c>
      <c r="G102" s="86" t="s">
        <v>575</v>
      </c>
      <c r="H102" s="86" t="s">
        <v>576</v>
      </c>
      <c r="I102" s="408"/>
      <c r="J102" s="86" t="s">
        <v>405</v>
      </c>
      <c r="K102" s="409" t="s">
        <v>145</v>
      </c>
      <c r="L102" s="410"/>
      <c r="M102" s="411" t="s">
        <v>775</v>
      </c>
      <c r="N102" s="21" t="s">
        <v>65</v>
      </c>
      <c r="O102" s="43" t="str">
        <f t="shared" si="0"/>
        <v>Phượng</v>
      </c>
      <c r="P102" s="171" t="str">
        <f t="shared" si="1"/>
        <v/>
      </c>
      <c r="Q102" s="21"/>
      <c r="R102" s="21"/>
      <c r="S102" s="21"/>
      <c r="T102" s="21"/>
      <c r="U102" s="21"/>
      <c r="V102" s="49" t="str">
        <f t="shared" si="42"/>
        <v/>
      </c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</row>
    <row r="103" spans="1:37" ht="27" customHeight="1" thickBot="1">
      <c r="A103" s="37">
        <v>94</v>
      </c>
      <c r="B103" s="388" t="s">
        <v>267</v>
      </c>
      <c r="C103" s="369" t="s">
        <v>577</v>
      </c>
      <c r="D103" s="370">
        <v>1997</v>
      </c>
      <c r="E103" s="370"/>
      <c r="F103" s="369" t="s">
        <v>565</v>
      </c>
      <c r="G103" s="370" t="s">
        <v>578</v>
      </c>
      <c r="H103" s="370" t="s">
        <v>579</v>
      </c>
      <c r="I103" s="428"/>
      <c r="J103" s="370" t="s">
        <v>405</v>
      </c>
      <c r="K103" s="429" t="s">
        <v>145</v>
      </c>
      <c r="L103" s="414"/>
      <c r="M103" s="415" t="s">
        <v>775</v>
      </c>
      <c r="N103" s="21" t="s">
        <v>65</v>
      </c>
      <c r="O103" s="43" t="str">
        <f t="shared" si="0"/>
        <v>Thọ</v>
      </c>
      <c r="P103" s="171" t="str">
        <f t="shared" si="1"/>
        <v/>
      </c>
      <c r="Q103" s="21"/>
      <c r="R103" s="21"/>
      <c r="S103" s="21"/>
      <c r="T103" s="21"/>
      <c r="U103" s="21"/>
      <c r="V103" s="49" t="str">
        <f t="shared" si="42"/>
        <v/>
      </c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</row>
    <row r="104" spans="1:37" ht="27" customHeight="1">
      <c r="A104" s="37">
        <v>95</v>
      </c>
      <c r="B104" s="395" t="s">
        <v>269</v>
      </c>
      <c r="C104" s="379" t="s">
        <v>268</v>
      </c>
      <c r="D104" s="380">
        <v>1978</v>
      </c>
      <c r="E104" s="380"/>
      <c r="F104" s="379" t="s">
        <v>580</v>
      </c>
      <c r="G104" s="380" t="s">
        <v>581</v>
      </c>
      <c r="H104" s="380" t="s">
        <v>582</v>
      </c>
      <c r="I104" s="467" t="s">
        <v>846</v>
      </c>
      <c r="J104" s="380"/>
      <c r="K104" s="468" t="s">
        <v>63</v>
      </c>
      <c r="L104" s="435"/>
      <c r="M104" s="419" t="s">
        <v>775</v>
      </c>
      <c r="N104" s="21" t="s">
        <v>65</v>
      </c>
      <c r="O104" s="43" t="str">
        <f t="shared" si="0"/>
        <v>Tuấn</v>
      </c>
      <c r="P104" s="171" t="str">
        <f t="shared" si="1"/>
        <v/>
      </c>
      <c r="Q104" s="21"/>
      <c r="R104" s="21"/>
      <c r="S104" s="21"/>
      <c r="T104" s="21"/>
      <c r="U104" s="21"/>
      <c r="V104" s="49" t="str">
        <f t="shared" si="42"/>
        <v/>
      </c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</row>
    <row r="105" spans="1:37" ht="27" customHeight="1">
      <c r="A105" s="37">
        <v>96</v>
      </c>
      <c r="B105" s="396" t="s">
        <v>269</v>
      </c>
      <c r="C105" s="119" t="s">
        <v>583</v>
      </c>
      <c r="D105" s="121"/>
      <c r="E105" s="121">
        <v>1981</v>
      </c>
      <c r="F105" s="119" t="s">
        <v>584</v>
      </c>
      <c r="G105" s="121" t="s">
        <v>585</v>
      </c>
      <c r="H105" s="121"/>
      <c r="I105" s="420" t="s">
        <v>847</v>
      </c>
      <c r="J105" s="121"/>
      <c r="K105" s="469" t="s">
        <v>114</v>
      </c>
      <c r="L105" s="436"/>
      <c r="M105" s="423" t="s">
        <v>775</v>
      </c>
      <c r="N105" s="21" t="s">
        <v>65</v>
      </c>
      <c r="O105" s="43" t="str">
        <f t="shared" si="0"/>
        <v>Thành</v>
      </c>
      <c r="P105" s="171" t="str">
        <f t="shared" si="1"/>
        <v/>
      </c>
      <c r="Q105" s="21"/>
      <c r="R105" s="21"/>
      <c r="S105" s="21"/>
      <c r="T105" s="21"/>
      <c r="U105" s="21"/>
      <c r="V105" s="49" t="str">
        <f t="shared" si="42"/>
        <v/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</row>
    <row r="106" spans="1:37" ht="27" customHeight="1" thickBot="1">
      <c r="A106" s="37">
        <v>97</v>
      </c>
      <c r="B106" s="397" t="s">
        <v>269</v>
      </c>
      <c r="C106" s="381" t="s">
        <v>586</v>
      </c>
      <c r="D106" s="382"/>
      <c r="E106" s="382">
        <v>1967</v>
      </c>
      <c r="F106" s="381" t="s">
        <v>587</v>
      </c>
      <c r="G106" s="382" t="s">
        <v>588</v>
      </c>
      <c r="H106" s="382" t="s">
        <v>589</v>
      </c>
      <c r="I106" s="470"/>
      <c r="J106" s="382"/>
      <c r="K106" s="471" t="s">
        <v>145</v>
      </c>
      <c r="L106" s="432"/>
      <c r="M106" s="427" t="s">
        <v>775</v>
      </c>
      <c r="N106" s="21" t="s">
        <v>65</v>
      </c>
      <c r="O106" s="43" t="str">
        <f t="shared" si="0"/>
        <v>Tâm</v>
      </c>
      <c r="P106" s="171" t="str">
        <f t="shared" si="1"/>
        <v/>
      </c>
      <c r="Q106" s="21"/>
      <c r="R106" s="21"/>
      <c r="S106" s="21"/>
      <c r="T106" s="21"/>
      <c r="U106" s="21"/>
      <c r="V106" s="49" t="str">
        <f t="shared" si="42"/>
        <v/>
      </c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</row>
    <row r="107" spans="1:37" ht="27" customHeight="1">
      <c r="A107" s="37">
        <v>98</v>
      </c>
      <c r="B107" s="389" t="s">
        <v>271</v>
      </c>
      <c r="C107" s="337" t="s">
        <v>270</v>
      </c>
      <c r="D107" s="338" t="s">
        <v>796</v>
      </c>
      <c r="E107" s="338"/>
      <c r="F107" s="337" t="s">
        <v>797</v>
      </c>
      <c r="G107" s="338" t="s">
        <v>805</v>
      </c>
      <c r="H107" s="338" t="s">
        <v>807</v>
      </c>
      <c r="I107" s="457" t="s">
        <v>592</v>
      </c>
      <c r="J107" s="338"/>
      <c r="K107" s="458" t="s">
        <v>63</v>
      </c>
      <c r="L107" s="472" t="s">
        <v>64</v>
      </c>
      <c r="M107" s="473"/>
      <c r="N107" s="21" t="s">
        <v>65</v>
      </c>
      <c r="O107" s="43" t="str">
        <f t="shared" si="0"/>
        <v>Sâm</v>
      </c>
      <c r="P107" s="171" t="str">
        <f t="shared" si="1"/>
        <v>Sâm</v>
      </c>
      <c r="Q107" s="21"/>
      <c r="R107" s="21"/>
      <c r="S107" s="21"/>
      <c r="T107" s="21"/>
      <c r="U107" s="21"/>
      <c r="V107" s="49" t="str">
        <f t="shared" si="42"/>
        <v/>
      </c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</row>
    <row r="108" spans="1:37" s="334" customFormat="1" ht="27" customHeight="1">
      <c r="A108" s="37">
        <v>99</v>
      </c>
      <c r="B108" s="390" t="s">
        <v>271</v>
      </c>
      <c r="C108" s="335" t="s">
        <v>798</v>
      </c>
      <c r="D108" s="336"/>
      <c r="E108" s="336" t="s">
        <v>799</v>
      </c>
      <c r="F108" s="335" t="s">
        <v>797</v>
      </c>
      <c r="G108" s="336" t="s">
        <v>806</v>
      </c>
      <c r="H108" s="336" t="s">
        <v>807</v>
      </c>
      <c r="I108" s="460"/>
      <c r="J108" s="336"/>
      <c r="K108" s="461" t="s">
        <v>114</v>
      </c>
      <c r="L108" s="474" t="s">
        <v>127</v>
      </c>
      <c r="M108" s="475"/>
      <c r="N108" s="21"/>
      <c r="O108" s="43" t="str">
        <f t="shared" si="0"/>
        <v>Hương</v>
      </c>
      <c r="P108" s="171" t="str">
        <f t="shared" si="1"/>
        <v>Hương</v>
      </c>
      <c r="Q108" s="21"/>
      <c r="R108" s="21"/>
      <c r="S108" s="21"/>
      <c r="T108" s="21"/>
      <c r="U108" s="21"/>
      <c r="V108" s="49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</row>
    <row r="109" spans="1:37" s="334" customFormat="1" ht="27" customHeight="1">
      <c r="A109" s="37">
        <v>100</v>
      </c>
      <c r="B109" s="390" t="s">
        <v>271</v>
      </c>
      <c r="C109" s="335" t="s">
        <v>800</v>
      </c>
      <c r="D109" s="336"/>
      <c r="E109" s="336" t="s">
        <v>801</v>
      </c>
      <c r="F109" s="335" t="s">
        <v>797</v>
      </c>
      <c r="G109" s="336" t="s">
        <v>802</v>
      </c>
      <c r="H109" s="336" t="s">
        <v>808</v>
      </c>
      <c r="I109" s="460"/>
      <c r="J109" s="336"/>
      <c r="K109" s="461" t="s">
        <v>145</v>
      </c>
      <c r="L109" s="474" t="s">
        <v>127</v>
      </c>
      <c r="M109" s="475"/>
      <c r="N109" s="21"/>
      <c r="O109" s="43" t="str">
        <f t="shared" ref="O109" si="49">TRIM(RIGHT(SUBSTITUTE(C109," ",REPT(" ",255)),255))</f>
        <v>Quyên</v>
      </c>
      <c r="P109" s="171" t="str">
        <f t="shared" ref="P109" si="50">IF(L109="x",O109,"")</f>
        <v>Quyên</v>
      </c>
      <c r="Q109" s="21"/>
      <c r="R109" s="21"/>
      <c r="S109" s="21"/>
      <c r="T109" s="21"/>
      <c r="U109" s="21"/>
      <c r="V109" s="49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</row>
    <row r="110" spans="1:37" s="334" customFormat="1" ht="27" customHeight="1" thickBot="1">
      <c r="A110" s="37">
        <v>101</v>
      </c>
      <c r="B110" s="391" t="s">
        <v>271</v>
      </c>
      <c r="C110" s="339" t="s">
        <v>803</v>
      </c>
      <c r="D110" s="340"/>
      <c r="E110" s="340" t="s">
        <v>455</v>
      </c>
      <c r="F110" s="339" t="s">
        <v>797</v>
      </c>
      <c r="G110" s="340" t="s">
        <v>804</v>
      </c>
      <c r="H110" s="340" t="s">
        <v>809</v>
      </c>
      <c r="I110" s="462"/>
      <c r="J110" s="340"/>
      <c r="K110" s="463" t="s">
        <v>145</v>
      </c>
      <c r="L110" s="476" t="s">
        <v>127</v>
      </c>
      <c r="M110" s="477"/>
      <c r="N110" s="21"/>
      <c r="O110" s="43" t="str">
        <f t="shared" si="0"/>
        <v>Trúc</v>
      </c>
      <c r="P110" s="171" t="str">
        <f t="shared" si="1"/>
        <v>Trúc</v>
      </c>
      <c r="Q110" s="21"/>
      <c r="R110" s="21"/>
      <c r="S110" s="21"/>
      <c r="T110" s="21"/>
      <c r="U110" s="21"/>
      <c r="V110" s="49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</row>
    <row r="111" spans="1:37" ht="27" customHeight="1">
      <c r="A111" s="37">
        <v>102</v>
      </c>
      <c r="B111" s="387" t="s">
        <v>276</v>
      </c>
      <c r="C111" s="112" t="s">
        <v>593</v>
      </c>
      <c r="D111" s="113">
        <v>1962</v>
      </c>
      <c r="E111" s="113"/>
      <c r="F111" s="112" t="s">
        <v>594</v>
      </c>
      <c r="G111" s="113" t="s">
        <v>590</v>
      </c>
      <c r="H111" s="113" t="s">
        <v>591</v>
      </c>
      <c r="I111" s="416"/>
      <c r="J111" s="113" t="s">
        <v>595</v>
      </c>
      <c r="K111" s="417" t="s">
        <v>63</v>
      </c>
      <c r="L111" s="418" t="s">
        <v>64</v>
      </c>
      <c r="M111" s="419"/>
      <c r="N111" s="21" t="s">
        <v>65</v>
      </c>
      <c r="O111" s="43" t="str">
        <f t="shared" si="0"/>
        <v>Trí</v>
      </c>
      <c r="P111" s="171" t="str">
        <f t="shared" si="1"/>
        <v>Trí</v>
      </c>
      <c r="Q111" s="21"/>
      <c r="R111" s="21"/>
      <c r="S111" s="21"/>
      <c r="T111" s="21"/>
      <c r="U111" s="21"/>
      <c r="V111" s="49" t="str">
        <f t="shared" ref="V111:V151" si="51">CONCATENATE(X111,IF(Y111&lt;&gt;"",",",""),Y111,IF(Z111&lt;&gt;"",",",""),Z111,IF(AA111&lt;&gt;"",",",""),AA111,IF(AB111&lt;&gt;"",",",""),AB111,IF(AC111&lt;&gt;"",",",""),AC111,IF(AD111&lt;&gt;"",",",""),AD111,IF(AE111&lt;&gt;"",",",""),AE111,IF(AF111&lt;&gt;"",",",""),AF111,IF(AG111&lt;&gt;"",",",""),AG111,IF(AH111&lt;&gt;"",",",""),AH111)</f>
        <v/>
      </c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</row>
    <row r="112" spans="1:37" ht="27" customHeight="1">
      <c r="A112" s="37">
        <v>103</v>
      </c>
      <c r="B112" s="385" t="s">
        <v>276</v>
      </c>
      <c r="C112" s="119" t="s">
        <v>275</v>
      </c>
      <c r="D112" s="121"/>
      <c r="E112" s="121">
        <v>1964</v>
      </c>
      <c r="F112" s="119" t="s">
        <v>594</v>
      </c>
      <c r="G112" s="121" t="s">
        <v>596</v>
      </c>
      <c r="H112" s="121" t="s">
        <v>591</v>
      </c>
      <c r="I112" s="420" t="s">
        <v>597</v>
      </c>
      <c r="J112" s="121" t="s">
        <v>595</v>
      </c>
      <c r="K112" s="421" t="s">
        <v>114</v>
      </c>
      <c r="L112" s="422" t="s">
        <v>64</v>
      </c>
      <c r="M112" s="423"/>
      <c r="N112" s="21" t="s">
        <v>65</v>
      </c>
      <c r="O112" s="43" t="str">
        <f t="shared" si="0"/>
        <v>Kiều</v>
      </c>
      <c r="P112" s="171" t="str">
        <f t="shared" si="1"/>
        <v>Kiều</v>
      </c>
      <c r="Q112" s="21"/>
      <c r="R112" s="21"/>
      <c r="S112" s="21"/>
      <c r="T112" s="21"/>
      <c r="U112" s="21"/>
      <c r="V112" s="49" t="str">
        <f t="shared" si="51"/>
        <v/>
      </c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</row>
    <row r="113" spans="1:37" ht="27" customHeight="1">
      <c r="A113" s="37">
        <v>104</v>
      </c>
      <c r="B113" s="385" t="s">
        <v>276</v>
      </c>
      <c r="C113" s="119" t="s">
        <v>598</v>
      </c>
      <c r="D113" s="121">
        <v>1985</v>
      </c>
      <c r="E113" s="121"/>
      <c r="F113" s="119" t="s">
        <v>594</v>
      </c>
      <c r="G113" s="121" t="s">
        <v>599</v>
      </c>
      <c r="H113" s="121" t="s">
        <v>600</v>
      </c>
      <c r="I113" s="420"/>
      <c r="J113" s="121" t="s">
        <v>595</v>
      </c>
      <c r="K113" s="421" t="s">
        <v>145</v>
      </c>
      <c r="L113" s="422" t="s">
        <v>64</v>
      </c>
      <c r="M113" s="423"/>
      <c r="N113" s="21" t="s">
        <v>65</v>
      </c>
      <c r="O113" s="43" t="str">
        <f t="shared" si="0"/>
        <v>Hiệp</v>
      </c>
      <c r="P113" s="171" t="str">
        <f t="shared" si="1"/>
        <v>Hiệp</v>
      </c>
      <c r="Q113" s="21"/>
      <c r="R113" s="21"/>
      <c r="S113" s="21"/>
      <c r="T113" s="21"/>
      <c r="U113" s="21"/>
      <c r="V113" s="49" t="str">
        <f t="shared" si="51"/>
        <v/>
      </c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</row>
    <row r="114" spans="1:37" s="398" customFormat="1" ht="27" customHeight="1">
      <c r="A114" s="37">
        <v>105</v>
      </c>
      <c r="B114" s="385" t="s">
        <v>276</v>
      </c>
      <c r="C114" s="119" t="s">
        <v>853</v>
      </c>
      <c r="D114" s="121"/>
      <c r="E114" s="121" t="s">
        <v>710</v>
      </c>
      <c r="F114" s="119" t="s">
        <v>594</v>
      </c>
      <c r="G114" s="121" t="s">
        <v>604</v>
      </c>
      <c r="H114" s="121" t="s">
        <v>591</v>
      </c>
      <c r="I114" s="420"/>
      <c r="J114" s="121" t="s">
        <v>595</v>
      </c>
      <c r="K114" s="421" t="s">
        <v>145</v>
      </c>
      <c r="L114" s="422" t="s">
        <v>64</v>
      </c>
      <c r="M114" s="423"/>
      <c r="N114" s="21" t="s">
        <v>65</v>
      </c>
      <c r="O114" s="43" t="str">
        <f t="shared" ref="O114" si="52">TRIM(RIGHT(SUBSTITUTE(C114," ",REPT(" ",255)),255))</f>
        <v>Thảo</v>
      </c>
      <c r="P114" s="171" t="str">
        <f t="shared" ref="P114" si="53">IF(L114="x",O114,"")</f>
        <v>Thảo</v>
      </c>
      <c r="Q114" s="21"/>
      <c r="R114" s="21"/>
      <c r="S114" s="21"/>
      <c r="T114" s="21"/>
      <c r="U114" s="21"/>
      <c r="V114" s="49" t="str">
        <f t="shared" ref="V114" si="54">CONCATENATE(X114,IF(Y114&lt;&gt;"",",",""),Y114,IF(Z114&lt;&gt;"",",",""),Z114,IF(AA114&lt;&gt;"",",",""),AA114,IF(AB114&lt;&gt;"",",",""),AB114,IF(AC114&lt;&gt;"",",",""),AC114,IF(AD114&lt;&gt;"",",",""),AD114,IF(AE114&lt;&gt;"",",",""),AE114,IF(AF114&lt;&gt;"",",",""),AF114,IF(AG114&lt;&gt;"",",",""),AG114,IF(AH114&lt;&gt;"",",",""),AH114)</f>
        <v/>
      </c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</row>
    <row r="115" spans="1:37" ht="27" customHeight="1" thickBot="1">
      <c r="A115" s="37">
        <v>105</v>
      </c>
      <c r="B115" s="385" t="s">
        <v>276</v>
      </c>
      <c r="C115" s="119" t="s">
        <v>601</v>
      </c>
      <c r="D115" s="121"/>
      <c r="E115" s="121">
        <v>1998</v>
      </c>
      <c r="F115" s="119" t="s">
        <v>594</v>
      </c>
      <c r="G115" s="121" t="s">
        <v>602</v>
      </c>
      <c r="H115" s="121" t="s">
        <v>603</v>
      </c>
      <c r="I115" s="420"/>
      <c r="J115" s="121" t="s">
        <v>595</v>
      </c>
      <c r="K115" s="421" t="s">
        <v>145</v>
      </c>
      <c r="L115" s="422" t="s">
        <v>64</v>
      </c>
      <c r="M115" s="423"/>
      <c r="N115" s="21" t="s">
        <v>65</v>
      </c>
      <c r="O115" s="43" t="str">
        <f t="shared" si="0"/>
        <v>Trâm</v>
      </c>
      <c r="P115" s="171" t="str">
        <f t="shared" si="1"/>
        <v>Trâm</v>
      </c>
      <c r="Q115" s="21"/>
      <c r="R115" s="21"/>
      <c r="S115" s="21"/>
      <c r="T115" s="21"/>
      <c r="U115" s="21"/>
      <c r="V115" s="49" t="str">
        <f t="shared" si="51"/>
        <v/>
      </c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</row>
    <row r="116" spans="1:37" ht="27" customHeight="1">
      <c r="A116" s="37">
        <v>107</v>
      </c>
      <c r="B116" s="384" t="s">
        <v>289</v>
      </c>
      <c r="C116" s="39" t="s">
        <v>288</v>
      </c>
      <c r="D116" s="40">
        <v>1975</v>
      </c>
      <c r="E116" s="40"/>
      <c r="F116" s="39" t="s">
        <v>605</v>
      </c>
      <c r="G116" s="40" t="s">
        <v>606</v>
      </c>
      <c r="H116" s="40" t="s">
        <v>607</v>
      </c>
      <c r="I116" s="404" t="s">
        <v>608</v>
      </c>
      <c r="J116" s="40" t="s">
        <v>609</v>
      </c>
      <c r="K116" s="405" t="s">
        <v>63</v>
      </c>
      <c r="L116" s="406" t="s">
        <v>64</v>
      </c>
      <c r="M116" s="407"/>
      <c r="N116" s="21" t="s">
        <v>65</v>
      </c>
      <c r="O116" s="43" t="str">
        <f t="shared" si="0"/>
        <v>Thiệu</v>
      </c>
      <c r="P116" s="171" t="str">
        <f t="shared" si="1"/>
        <v>Thiệu</v>
      </c>
      <c r="Q116" s="21"/>
      <c r="R116" s="21"/>
      <c r="S116" s="21"/>
      <c r="T116" s="21"/>
      <c r="U116" s="21"/>
      <c r="V116" s="49" t="str">
        <f t="shared" si="51"/>
        <v/>
      </c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</row>
    <row r="117" spans="1:37" ht="27" customHeight="1">
      <c r="A117" s="37">
        <v>108</v>
      </c>
      <c r="B117" s="385" t="s">
        <v>289</v>
      </c>
      <c r="C117" s="85" t="s">
        <v>610</v>
      </c>
      <c r="D117" s="86"/>
      <c r="E117" s="86">
        <v>1979</v>
      </c>
      <c r="F117" s="85" t="s">
        <v>611</v>
      </c>
      <c r="G117" s="86" t="s">
        <v>612</v>
      </c>
      <c r="H117" s="86" t="s">
        <v>613</v>
      </c>
      <c r="I117" s="408" t="s">
        <v>614</v>
      </c>
      <c r="J117" s="86" t="s">
        <v>609</v>
      </c>
      <c r="K117" s="409" t="s">
        <v>114</v>
      </c>
      <c r="L117" s="410" t="s">
        <v>64</v>
      </c>
      <c r="M117" s="411"/>
      <c r="N117" s="21" t="s">
        <v>65</v>
      </c>
      <c r="O117" s="43" t="str">
        <f t="shared" si="0"/>
        <v>Nga</v>
      </c>
      <c r="P117" s="171" t="str">
        <f t="shared" si="1"/>
        <v>Nga</v>
      </c>
      <c r="Q117" s="21"/>
      <c r="R117" s="21"/>
      <c r="S117" s="21"/>
      <c r="T117" s="21"/>
      <c r="U117" s="21"/>
      <c r="V117" s="49" t="str">
        <f t="shared" si="51"/>
        <v/>
      </c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</row>
    <row r="118" spans="1:37" ht="27" customHeight="1">
      <c r="A118" s="37">
        <v>109</v>
      </c>
      <c r="B118" s="385" t="s">
        <v>289</v>
      </c>
      <c r="C118" s="85" t="s">
        <v>615</v>
      </c>
      <c r="D118" s="86"/>
      <c r="E118" s="86">
        <v>2001</v>
      </c>
      <c r="F118" s="85" t="s">
        <v>611</v>
      </c>
      <c r="G118" s="86" t="s">
        <v>616</v>
      </c>
      <c r="H118" s="86" t="s">
        <v>617</v>
      </c>
      <c r="I118" s="408"/>
      <c r="J118" s="86" t="s">
        <v>609</v>
      </c>
      <c r="K118" s="409" t="s">
        <v>145</v>
      </c>
      <c r="L118" s="410" t="s">
        <v>64</v>
      </c>
      <c r="M118" s="411"/>
      <c r="N118" s="21" t="s">
        <v>65</v>
      </c>
      <c r="O118" s="43" t="str">
        <f t="shared" si="0"/>
        <v>Trang</v>
      </c>
      <c r="P118" s="171" t="str">
        <f t="shared" si="1"/>
        <v>Trang</v>
      </c>
      <c r="Q118" s="21"/>
      <c r="R118" s="21"/>
      <c r="S118" s="21"/>
      <c r="T118" s="21"/>
      <c r="U118" s="21"/>
      <c r="V118" s="49" t="str">
        <f t="shared" si="51"/>
        <v/>
      </c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</row>
    <row r="119" spans="1:37" ht="27" customHeight="1" thickBot="1">
      <c r="A119" s="37">
        <v>110</v>
      </c>
      <c r="B119" s="386" t="s">
        <v>289</v>
      </c>
      <c r="C119" s="99" t="s">
        <v>618</v>
      </c>
      <c r="D119" s="100"/>
      <c r="E119" s="100">
        <v>2012</v>
      </c>
      <c r="F119" s="99" t="s">
        <v>611</v>
      </c>
      <c r="G119" s="100" t="s">
        <v>263</v>
      </c>
      <c r="H119" s="100"/>
      <c r="I119" s="412"/>
      <c r="J119" s="100" t="s">
        <v>609</v>
      </c>
      <c r="K119" s="413" t="s">
        <v>145</v>
      </c>
      <c r="L119" s="414" t="s">
        <v>64</v>
      </c>
      <c r="M119" s="415"/>
      <c r="N119" s="21" t="s">
        <v>65</v>
      </c>
      <c r="O119" s="43" t="str">
        <f t="shared" si="0"/>
        <v>Chinh</v>
      </c>
      <c r="P119" s="171" t="str">
        <f t="shared" si="1"/>
        <v>Chinh</v>
      </c>
      <c r="Q119" s="21"/>
      <c r="R119" s="21"/>
      <c r="S119" s="21"/>
      <c r="T119" s="21"/>
      <c r="U119" s="21"/>
      <c r="V119" s="49" t="str">
        <f t="shared" si="51"/>
        <v/>
      </c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</row>
    <row r="120" spans="1:37" ht="27" customHeight="1">
      <c r="A120" s="37">
        <v>111</v>
      </c>
      <c r="B120" s="387" t="s">
        <v>292</v>
      </c>
      <c r="C120" s="112" t="s">
        <v>291</v>
      </c>
      <c r="D120" s="113">
        <v>1987</v>
      </c>
      <c r="E120" s="113"/>
      <c r="F120" s="112" t="s">
        <v>619</v>
      </c>
      <c r="G120" s="113" t="s">
        <v>620</v>
      </c>
      <c r="H120" s="113" t="s">
        <v>621</v>
      </c>
      <c r="I120" s="416" t="s">
        <v>622</v>
      </c>
      <c r="J120" s="113" t="s">
        <v>623</v>
      </c>
      <c r="K120" s="417" t="s">
        <v>63</v>
      </c>
      <c r="L120" s="418" t="s">
        <v>64</v>
      </c>
      <c r="M120" s="419"/>
      <c r="N120" s="21" t="s">
        <v>65</v>
      </c>
      <c r="O120" s="43" t="str">
        <f t="shared" si="0"/>
        <v>Thanh</v>
      </c>
      <c r="P120" s="171" t="str">
        <f t="shared" si="1"/>
        <v>Thanh</v>
      </c>
      <c r="Q120" s="21"/>
      <c r="R120" s="21"/>
      <c r="S120" s="21"/>
      <c r="T120" s="21"/>
      <c r="U120" s="21"/>
      <c r="V120" s="49" t="str">
        <f t="shared" si="51"/>
        <v/>
      </c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</row>
    <row r="121" spans="1:37" ht="27" customHeight="1">
      <c r="A121" s="37">
        <v>114</v>
      </c>
      <c r="B121" s="385" t="s">
        <v>292</v>
      </c>
      <c r="C121" s="119" t="s">
        <v>631</v>
      </c>
      <c r="D121" s="121">
        <v>1990</v>
      </c>
      <c r="E121" s="121"/>
      <c r="F121" s="119" t="s">
        <v>619</v>
      </c>
      <c r="G121" s="121" t="s">
        <v>632</v>
      </c>
      <c r="H121" s="121" t="s">
        <v>633</v>
      </c>
      <c r="I121" s="420" t="s">
        <v>634</v>
      </c>
      <c r="J121" s="121" t="s">
        <v>623</v>
      </c>
      <c r="K121" s="421" t="s">
        <v>396</v>
      </c>
      <c r="L121" s="422" t="s">
        <v>64</v>
      </c>
      <c r="M121" s="423"/>
      <c r="N121" s="21" t="s">
        <v>65</v>
      </c>
      <c r="O121" s="43" t="str">
        <f t="shared" si="0"/>
        <v>Hòa</v>
      </c>
      <c r="P121" s="171" t="str">
        <f t="shared" si="1"/>
        <v>Hòa</v>
      </c>
      <c r="Q121" s="21"/>
      <c r="R121" s="21"/>
      <c r="S121" s="21"/>
      <c r="T121" s="21"/>
      <c r="U121" s="21"/>
      <c r="V121" s="49" t="str">
        <f t="shared" si="51"/>
        <v/>
      </c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</row>
    <row r="122" spans="1:37" ht="27" customHeight="1">
      <c r="A122" s="37">
        <v>115</v>
      </c>
      <c r="B122" s="388" t="s">
        <v>292</v>
      </c>
      <c r="C122" s="163" t="s">
        <v>635</v>
      </c>
      <c r="D122" s="164">
        <v>1992</v>
      </c>
      <c r="E122" s="164"/>
      <c r="F122" s="163" t="s">
        <v>636</v>
      </c>
      <c r="G122" s="164" t="s">
        <v>637</v>
      </c>
      <c r="H122" s="164" t="s">
        <v>638</v>
      </c>
      <c r="I122" s="424"/>
      <c r="J122" s="164" t="s">
        <v>623</v>
      </c>
      <c r="K122" s="425" t="s">
        <v>396</v>
      </c>
      <c r="L122" s="426" t="s">
        <v>64</v>
      </c>
      <c r="M122" s="427"/>
      <c r="N122" s="21" t="s">
        <v>65</v>
      </c>
      <c r="O122" s="43" t="str">
        <f t="shared" si="0"/>
        <v>Bình</v>
      </c>
      <c r="P122" s="171" t="str">
        <f t="shared" si="1"/>
        <v>Bình</v>
      </c>
      <c r="Q122" s="21"/>
      <c r="R122" s="21"/>
      <c r="S122" s="21"/>
      <c r="T122" s="21"/>
      <c r="U122" s="21"/>
      <c r="V122" s="49" t="str">
        <f t="shared" si="51"/>
        <v/>
      </c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</row>
    <row r="123" spans="1:37" ht="27" customHeight="1">
      <c r="A123" s="37">
        <v>112</v>
      </c>
      <c r="B123" s="385" t="s">
        <v>292</v>
      </c>
      <c r="C123" s="119" t="s">
        <v>624</v>
      </c>
      <c r="D123" s="121"/>
      <c r="E123" s="121">
        <v>1994</v>
      </c>
      <c r="F123" s="119" t="s">
        <v>619</v>
      </c>
      <c r="G123" s="121" t="s">
        <v>625</v>
      </c>
      <c r="H123" s="121" t="s">
        <v>621</v>
      </c>
      <c r="I123" s="420"/>
      <c r="J123" s="121" t="s">
        <v>623</v>
      </c>
      <c r="K123" s="421" t="s">
        <v>396</v>
      </c>
      <c r="L123" s="422"/>
      <c r="M123" s="423" t="s">
        <v>848</v>
      </c>
      <c r="N123" s="21" t="s">
        <v>65</v>
      </c>
      <c r="O123" s="43" t="str">
        <f>TRIM(RIGHT(SUBSTITUTE(C123," ",REPT(" ",255)),255))</f>
        <v>Chị</v>
      </c>
      <c r="P123" s="171" t="str">
        <f>IF(L123="x",O123,"")</f>
        <v/>
      </c>
      <c r="Q123" s="21"/>
      <c r="R123" s="21"/>
      <c r="S123" s="21"/>
      <c r="T123" s="21"/>
      <c r="U123" s="21"/>
      <c r="V123" s="49" t="str">
        <f>CONCATENATE(X123,IF(Y123&lt;&gt;"",",",""),Y123,IF(Z123&lt;&gt;"",",",""),Z123,IF(AA123&lt;&gt;"",",",""),AA123,IF(AB123&lt;&gt;"",",",""),AB123,IF(AC123&lt;&gt;"",",",""),AC123,IF(AD123&lt;&gt;"",",",""),AD123,IF(AE123&lt;&gt;"",",",""),AE123,IF(AF123&lt;&gt;"",",",""),AF123,IF(AG123&lt;&gt;"",",",""),AG123,IF(AH123&lt;&gt;"",",",""),AH123)</f>
        <v/>
      </c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</row>
    <row r="124" spans="1:37" ht="27" customHeight="1" thickBot="1">
      <c r="A124" s="37">
        <v>113</v>
      </c>
      <c r="B124" s="385" t="s">
        <v>292</v>
      </c>
      <c r="C124" s="119" t="s">
        <v>626</v>
      </c>
      <c r="D124" s="121">
        <v>1990</v>
      </c>
      <c r="E124" s="121"/>
      <c r="F124" s="119" t="s">
        <v>627</v>
      </c>
      <c r="G124" s="121" t="s">
        <v>628</v>
      </c>
      <c r="H124" s="121" t="s">
        <v>629</v>
      </c>
      <c r="I124" s="420"/>
      <c r="J124" s="121" t="s">
        <v>623</v>
      </c>
      <c r="K124" s="421" t="s">
        <v>630</v>
      </c>
      <c r="L124" s="422"/>
      <c r="M124" s="423" t="s">
        <v>263</v>
      </c>
      <c r="N124" s="21" t="s">
        <v>65</v>
      </c>
      <c r="O124" s="43" t="str">
        <f>TRIM(RIGHT(SUBSTITUTE(C124," ",REPT(" ",255)),255))</f>
        <v>Hậu</v>
      </c>
      <c r="P124" s="171" t="str">
        <f>IF(L124="x",O124,"")</f>
        <v/>
      </c>
      <c r="Q124" s="21"/>
      <c r="R124" s="21"/>
      <c r="S124" s="21"/>
      <c r="T124" s="21"/>
      <c r="U124" s="21"/>
      <c r="V124" s="49" t="str">
        <f>CONCATENATE(X124,IF(Y124&lt;&gt;"",",",""),Y124,IF(Z124&lt;&gt;"",",",""),Z124,IF(AA124&lt;&gt;"",",",""),AA124,IF(AB124&lt;&gt;"",",",""),AB124,IF(AC124&lt;&gt;"",",",""),AC124,IF(AD124&lt;&gt;"",",",""),AD124,IF(AE124&lt;&gt;"",",",""),AE124,IF(AF124&lt;&gt;"",",",""),AF124,IF(AG124&lt;&gt;"",",",""),AG124,IF(AH124&lt;&gt;"",",",""),AH124)</f>
        <v/>
      </c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</row>
    <row r="125" spans="1:37" ht="27" customHeight="1">
      <c r="A125" s="37">
        <v>116</v>
      </c>
      <c r="B125" s="384" t="s">
        <v>299</v>
      </c>
      <c r="C125" s="39" t="s">
        <v>639</v>
      </c>
      <c r="D125" s="40">
        <v>1986</v>
      </c>
      <c r="E125" s="40"/>
      <c r="F125" s="39" t="s">
        <v>640</v>
      </c>
      <c r="G125" s="40" t="s">
        <v>641</v>
      </c>
      <c r="H125" s="40" t="s">
        <v>642</v>
      </c>
      <c r="I125" s="404" t="s">
        <v>849</v>
      </c>
      <c r="J125" s="40" t="s">
        <v>623</v>
      </c>
      <c r="K125" s="405" t="s">
        <v>63</v>
      </c>
      <c r="L125" s="406" t="s">
        <v>64</v>
      </c>
      <c r="M125" s="407"/>
      <c r="N125" s="21" t="s">
        <v>65</v>
      </c>
      <c r="O125" s="43" t="str">
        <f t="shared" si="0"/>
        <v>Tèo</v>
      </c>
      <c r="P125" s="171" t="str">
        <f t="shared" si="1"/>
        <v>Tèo</v>
      </c>
      <c r="Q125" s="21"/>
      <c r="R125" s="21"/>
      <c r="S125" s="21"/>
      <c r="T125" s="21"/>
      <c r="U125" s="21"/>
      <c r="V125" s="49" t="str">
        <f t="shared" si="51"/>
        <v/>
      </c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</row>
    <row r="126" spans="1:37" ht="27" customHeight="1">
      <c r="A126" s="37">
        <v>117</v>
      </c>
      <c r="B126" s="385" t="s">
        <v>299</v>
      </c>
      <c r="C126" s="85" t="s">
        <v>298</v>
      </c>
      <c r="D126" s="86"/>
      <c r="E126" s="86">
        <v>1990</v>
      </c>
      <c r="F126" s="85" t="s">
        <v>643</v>
      </c>
      <c r="G126" s="86" t="s">
        <v>644</v>
      </c>
      <c r="H126" s="86" t="s">
        <v>645</v>
      </c>
      <c r="I126" s="408" t="s">
        <v>646</v>
      </c>
      <c r="J126" s="86" t="s">
        <v>623</v>
      </c>
      <c r="K126" s="409" t="s">
        <v>114</v>
      </c>
      <c r="L126" s="410" t="s">
        <v>64</v>
      </c>
      <c r="M126" s="411"/>
      <c r="N126" s="21" t="s">
        <v>65</v>
      </c>
      <c r="O126" s="43" t="str">
        <f t="shared" si="0"/>
        <v>Trang</v>
      </c>
      <c r="P126" s="171" t="str">
        <f t="shared" si="1"/>
        <v>Trang</v>
      </c>
      <c r="Q126" s="21"/>
      <c r="R126" s="21"/>
      <c r="S126" s="21"/>
      <c r="T126" s="21"/>
      <c r="U126" s="21"/>
      <c r="V126" s="49" t="str">
        <f t="shared" si="51"/>
        <v/>
      </c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</row>
    <row r="127" spans="1:37" ht="27" customHeight="1">
      <c r="A127" s="37">
        <v>118</v>
      </c>
      <c r="B127" s="385" t="s">
        <v>299</v>
      </c>
      <c r="C127" s="85" t="s">
        <v>647</v>
      </c>
      <c r="D127" s="86"/>
      <c r="E127" s="86">
        <v>2014</v>
      </c>
      <c r="F127" s="85" t="s">
        <v>643</v>
      </c>
      <c r="G127" s="86" t="s">
        <v>263</v>
      </c>
      <c r="H127" s="86"/>
      <c r="I127" s="408"/>
      <c r="J127" s="86" t="s">
        <v>623</v>
      </c>
      <c r="K127" s="409" t="s">
        <v>145</v>
      </c>
      <c r="L127" s="410" t="s">
        <v>64</v>
      </c>
      <c r="M127" s="411"/>
      <c r="N127" s="21" t="s">
        <v>65</v>
      </c>
      <c r="O127" s="43" t="str">
        <f t="shared" si="0"/>
        <v>My</v>
      </c>
      <c r="P127" s="171" t="str">
        <f t="shared" si="1"/>
        <v>My</v>
      </c>
      <c r="Q127" s="21"/>
      <c r="R127" s="21"/>
      <c r="S127" s="21"/>
      <c r="T127" s="21"/>
      <c r="U127" s="21"/>
      <c r="V127" s="49" t="str">
        <f t="shared" si="51"/>
        <v/>
      </c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</row>
    <row r="128" spans="1:37" ht="27" customHeight="1">
      <c r="A128" s="37">
        <v>119</v>
      </c>
      <c r="B128" s="385" t="s">
        <v>299</v>
      </c>
      <c r="C128" s="85" t="s">
        <v>648</v>
      </c>
      <c r="D128" s="86"/>
      <c r="E128" s="86">
        <v>1958</v>
      </c>
      <c r="F128" s="85" t="s">
        <v>643</v>
      </c>
      <c r="G128" s="86" t="s">
        <v>649</v>
      </c>
      <c r="H128" s="86"/>
      <c r="I128" s="408"/>
      <c r="J128" s="86" t="s">
        <v>623</v>
      </c>
      <c r="K128" s="409" t="s">
        <v>650</v>
      </c>
      <c r="L128" s="410" t="s">
        <v>64</v>
      </c>
      <c r="M128" s="411"/>
      <c r="N128" s="21" t="s">
        <v>65</v>
      </c>
      <c r="O128" s="43" t="str">
        <f t="shared" si="0"/>
        <v>Lan</v>
      </c>
      <c r="P128" s="171" t="str">
        <f t="shared" si="1"/>
        <v>Lan</v>
      </c>
      <c r="Q128" s="21"/>
      <c r="R128" s="21"/>
      <c r="S128" s="21"/>
      <c r="T128" s="21"/>
      <c r="U128" s="21"/>
      <c r="V128" s="49" t="str">
        <f t="shared" si="51"/>
        <v/>
      </c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</row>
    <row r="129" spans="1:37" ht="27" customHeight="1" thickBot="1">
      <c r="A129" s="37">
        <v>120</v>
      </c>
      <c r="B129" s="388" t="s">
        <v>299</v>
      </c>
      <c r="C129" s="369" t="s">
        <v>651</v>
      </c>
      <c r="D129" s="370"/>
      <c r="E129" s="370"/>
      <c r="F129" s="369"/>
      <c r="G129" s="370" t="s">
        <v>652</v>
      </c>
      <c r="H129" s="370" t="s">
        <v>653</v>
      </c>
      <c r="I129" s="428"/>
      <c r="J129" s="370" t="s">
        <v>623</v>
      </c>
      <c r="K129" s="429"/>
      <c r="L129" s="414"/>
      <c r="M129" s="415" t="s">
        <v>263</v>
      </c>
      <c r="N129" s="21" t="s">
        <v>65</v>
      </c>
      <c r="O129" s="43" t="str">
        <f t="shared" si="0"/>
        <v>Xinh</v>
      </c>
      <c r="P129" s="171" t="str">
        <f t="shared" si="1"/>
        <v/>
      </c>
      <c r="Q129" s="21"/>
      <c r="R129" s="21"/>
      <c r="S129" s="21"/>
      <c r="T129" s="21"/>
      <c r="U129" s="21"/>
      <c r="V129" s="49" t="str">
        <f t="shared" si="51"/>
        <v/>
      </c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</row>
    <row r="130" spans="1:37" ht="27" customHeight="1">
      <c r="A130" s="37">
        <v>121</v>
      </c>
      <c r="B130" s="389" t="s">
        <v>301</v>
      </c>
      <c r="C130" s="375" t="s">
        <v>654</v>
      </c>
      <c r="D130" s="376">
        <v>1968</v>
      </c>
      <c r="E130" s="376"/>
      <c r="F130" s="375" t="s">
        <v>655</v>
      </c>
      <c r="G130" s="376" t="s">
        <v>656</v>
      </c>
      <c r="H130" s="376" t="s">
        <v>657</v>
      </c>
      <c r="I130" s="430" t="s">
        <v>658</v>
      </c>
      <c r="J130" s="376" t="s">
        <v>609</v>
      </c>
      <c r="K130" s="431" t="s">
        <v>63</v>
      </c>
      <c r="L130" s="436" t="s">
        <v>64</v>
      </c>
      <c r="M130" s="423"/>
      <c r="N130" s="21" t="s">
        <v>65</v>
      </c>
      <c r="O130" s="43" t="str">
        <f t="shared" si="0"/>
        <v>Nghĩa</v>
      </c>
      <c r="P130" s="171" t="str">
        <f t="shared" si="1"/>
        <v>Nghĩa</v>
      </c>
      <c r="Q130" s="21"/>
      <c r="R130" s="21"/>
      <c r="S130" s="21"/>
      <c r="T130" s="21"/>
      <c r="U130" s="21"/>
      <c r="V130" s="49" t="str">
        <f t="shared" si="51"/>
        <v/>
      </c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</row>
    <row r="131" spans="1:37" ht="27" customHeight="1">
      <c r="A131" s="37">
        <v>122</v>
      </c>
      <c r="B131" s="390" t="s">
        <v>301</v>
      </c>
      <c r="C131" s="373" t="s">
        <v>300</v>
      </c>
      <c r="D131" s="374"/>
      <c r="E131" s="374">
        <v>1962</v>
      </c>
      <c r="F131" s="373" t="s">
        <v>659</v>
      </c>
      <c r="G131" s="374" t="s">
        <v>324</v>
      </c>
      <c r="H131" s="374"/>
      <c r="I131" s="433" t="s">
        <v>660</v>
      </c>
      <c r="J131" s="374" t="s">
        <v>609</v>
      </c>
      <c r="K131" s="434" t="s">
        <v>114</v>
      </c>
      <c r="L131" s="432" t="s">
        <v>64</v>
      </c>
      <c r="M131" s="427"/>
      <c r="N131" s="21" t="s">
        <v>65</v>
      </c>
      <c r="O131" s="43" t="str">
        <f t="shared" si="0"/>
        <v>Thu</v>
      </c>
      <c r="P131" s="171" t="str">
        <f t="shared" si="1"/>
        <v>Thu</v>
      </c>
      <c r="Q131" s="21"/>
      <c r="R131" s="21"/>
      <c r="S131" s="21"/>
      <c r="T131" s="21"/>
      <c r="U131" s="21"/>
      <c r="V131" s="49" t="str">
        <f t="shared" si="51"/>
        <v/>
      </c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</row>
    <row r="132" spans="1:37" ht="27" customHeight="1">
      <c r="A132" s="37">
        <v>123</v>
      </c>
      <c r="B132" s="390" t="s">
        <v>301</v>
      </c>
      <c r="C132" s="373" t="s">
        <v>723</v>
      </c>
      <c r="D132" s="374" t="s">
        <v>724</v>
      </c>
      <c r="E132" s="374"/>
      <c r="F132" s="373" t="s">
        <v>655</v>
      </c>
      <c r="G132" s="374" t="s">
        <v>725</v>
      </c>
      <c r="H132" s="374" t="s">
        <v>726</v>
      </c>
      <c r="I132" s="433"/>
      <c r="J132" s="374" t="s">
        <v>727</v>
      </c>
      <c r="K132" s="434" t="s">
        <v>145</v>
      </c>
      <c r="L132" s="478" t="s">
        <v>127</v>
      </c>
      <c r="M132" s="479"/>
      <c r="N132" s="21"/>
      <c r="O132" s="43" t="str">
        <f t="shared" si="0"/>
        <v>Ân</v>
      </c>
      <c r="P132" s="171" t="str">
        <f t="shared" si="1"/>
        <v>Ân</v>
      </c>
      <c r="Q132" s="21"/>
      <c r="R132" s="21"/>
      <c r="S132" s="21"/>
      <c r="T132" s="21"/>
      <c r="U132" s="21"/>
      <c r="V132" s="49" t="str">
        <f t="shared" si="51"/>
        <v/>
      </c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</row>
    <row r="133" spans="1:37" ht="27" customHeight="1">
      <c r="A133" s="37">
        <v>124</v>
      </c>
      <c r="B133" s="390" t="s">
        <v>301</v>
      </c>
      <c r="C133" s="373" t="s">
        <v>728</v>
      </c>
      <c r="D133" s="374" t="s">
        <v>729</v>
      </c>
      <c r="E133" s="374"/>
      <c r="F133" s="373" t="s">
        <v>655</v>
      </c>
      <c r="G133" s="374" t="s">
        <v>324</v>
      </c>
      <c r="H133" s="374"/>
      <c r="I133" s="433"/>
      <c r="J133" s="374" t="s">
        <v>727</v>
      </c>
      <c r="K133" s="434" t="s">
        <v>325</v>
      </c>
      <c r="L133" s="478" t="s">
        <v>127</v>
      </c>
      <c r="M133" s="479"/>
      <c r="N133" s="21"/>
      <c r="O133" s="43" t="str">
        <f t="shared" si="0"/>
        <v>Phúc</v>
      </c>
      <c r="P133" s="171" t="str">
        <f t="shared" si="1"/>
        <v>Phúc</v>
      </c>
      <c r="Q133" s="21"/>
      <c r="R133" s="21"/>
      <c r="S133" s="21"/>
      <c r="T133" s="21"/>
      <c r="U133" s="21"/>
      <c r="V133" s="49" t="str">
        <f t="shared" si="51"/>
        <v/>
      </c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</row>
    <row r="134" spans="1:37" ht="27" customHeight="1">
      <c r="A134" s="37">
        <v>125</v>
      </c>
      <c r="B134" s="390" t="s">
        <v>301</v>
      </c>
      <c r="C134" s="373" t="s">
        <v>661</v>
      </c>
      <c r="D134" s="374"/>
      <c r="E134" s="374">
        <v>1970</v>
      </c>
      <c r="F134" s="373" t="s">
        <v>662</v>
      </c>
      <c r="G134" s="374" t="s">
        <v>663</v>
      </c>
      <c r="H134" s="374" t="s">
        <v>664</v>
      </c>
      <c r="I134" s="433"/>
      <c r="J134" s="374" t="s">
        <v>623</v>
      </c>
      <c r="K134" s="434"/>
      <c r="L134" s="435"/>
      <c r="M134" s="419" t="s">
        <v>263</v>
      </c>
      <c r="N134" s="21" t="s">
        <v>65</v>
      </c>
      <c r="O134" s="43" t="str">
        <f t="shared" si="0"/>
        <v>Yến</v>
      </c>
      <c r="P134" s="171" t="str">
        <f t="shared" si="1"/>
        <v/>
      </c>
      <c r="Q134" s="21"/>
      <c r="R134" s="21"/>
      <c r="S134" s="21"/>
      <c r="T134" s="21"/>
      <c r="U134" s="21"/>
      <c r="V134" s="49" t="str">
        <f t="shared" si="51"/>
        <v/>
      </c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</row>
    <row r="135" spans="1:37" ht="27" customHeight="1">
      <c r="A135" s="37">
        <v>126</v>
      </c>
      <c r="B135" s="390" t="s">
        <v>301</v>
      </c>
      <c r="C135" s="373" t="s">
        <v>665</v>
      </c>
      <c r="D135" s="374">
        <v>1993</v>
      </c>
      <c r="E135" s="374"/>
      <c r="F135" s="373" t="s">
        <v>662</v>
      </c>
      <c r="G135" s="374" t="s">
        <v>144</v>
      </c>
      <c r="H135" s="374"/>
      <c r="I135" s="433"/>
      <c r="J135" s="374" t="s">
        <v>623</v>
      </c>
      <c r="K135" s="434"/>
      <c r="L135" s="436"/>
      <c r="M135" s="423" t="s">
        <v>263</v>
      </c>
      <c r="N135" s="21" t="s">
        <v>65</v>
      </c>
      <c r="O135" s="43" t="str">
        <f t="shared" si="0"/>
        <v>Trường</v>
      </c>
      <c r="P135" s="171" t="str">
        <f t="shared" si="1"/>
        <v/>
      </c>
      <c r="Q135" s="21"/>
      <c r="R135" s="21"/>
      <c r="S135" s="21"/>
      <c r="T135" s="21"/>
      <c r="U135" s="21"/>
      <c r="V135" s="49" t="str">
        <f t="shared" si="51"/>
        <v/>
      </c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</row>
    <row r="136" spans="1:37" ht="27" customHeight="1">
      <c r="A136" s="37">
        <v>127</v>
      </c>
      <c r="B136" s="390" t="s">
        <v>301</v>
      </c>
      <c r="C136" s="373" t="s">
        <v>666</v>
      </c>
      <c r="D136" s="374"/>
      <c r="E136" s="374">
        <v>1996</v>
      </c>
      <c r="F136" s="373" t="s">
        <v>662</v>
      </c>
      <c r="G136" s="374" t="s">
        <v>667</v>
      </c>
      <c r="H136" s="374" t="s">
        <v>668</v>
      </c>
      <c r="I136" s="433"/>
      <c r="J136" s="374" t="s">
        <v>623</v>
      </c>
      <c r="K136" s="434"/>
      <c r="L136" s="436"/>
      <c r="M136" s="423" t="s">
        <v>263</v>
      </c>
      <c r="N136" s="21" t="s">
        <v>65</v>
      </c>
      <c r="O136" s="43" t="str">
        <f t="shared" si="0"/>
        <v>Liễu</v>
      </c>
      <c r="P136" s="171" t="str">
        <f t="shared" si="1"/>
        <v/>
      </c>
      <c r="Q136" s="21"/>
      <c r="R136" s="21"/>
      <c r="S136" s="21"/>
      <c r="T136" s="21"/>
      <c r="U136" s="21"/>
      <c r="V136" s="49" t="str">
        <f t="shared" si="51"/>
        <v/>
      </c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</row>
    <row r="137" spans="1:37" ht="27" customHeight="1" thickBot="1">
      <c r="A137" s="37">
        <v>128</v>
      </c>
      <c r="B137" s="391" t="s">
        <v>301</v>
      </c>
      <c r="C137" s="377" t="s">
        <v>669</v>
      </c>
      <c r="D137" s="378">
        <v>2003</v>
      </c>
      <c r="E137" s="378"/>
      <c r="F137" s="377" t="s">
        <v>662</v>
      </c>
      <c r="G137" s="378" t="s">
        <v>670</v>
      </c>
      <c r="H137" s="378" t="s">
        <v>671</v>
      </c>
      <c r="I137" s="437"/>
      <c r="J137" s="378" t="s">
        <v>623</v>
      </c>
      <c r="K137" s="438"/>
      <c r="L137" s="436"/>
      <c r="M137" s="423" t="s">
        <v>263</v>
      </c>
      <c r="N137" s="21" t="s">
        <v>65</v>
      </c>
      <c r="O137" s="43" t="str">
        <f t="shared" si="0"/>
        <v>Bảo</v>
      </c>
      <c r="P137" s="171" t="str">
        <f t="shared" si="1"/>
        <v/>
      </c>
      <c r="Q137" s="21"/>
      <c r="R137" s="21"/>
      <c r="S137" s="21"/>
      <c r="T137" s="21"/>
      <c r="U137" s="21"/>
      <c r="V137" s="49" t="str">
        <f t="shared" si="51"/>
        <v/>
      </c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</row>
    <row r="138" spans="1:37" ht="27.75" customHeight="1">
      <c r="A138" s="37">
        <v>129</v>
      </c>
      <c r="B138" s="392" t="s">
        <v>303</v>
      </c>
      <c r="C138" s="371" t="s">
        <v>302</v>
      </c>
      <c r="D138" s="372"/>
      <c r="E138" s="372">
        <v>1983</v>
      </c>
      <c r="F138" s="371" t="s">
        <v>672</v>
      </c>
      <c r="G138" s="372" t="s">
        <v>673</v>
      </c>
      <c r="H138" s="372" t="s">
        <v>674</v>
      </c>
      <c r="I138" s="439" t="s">
        <v>675</v>
      </c>
      <c r="J138" s="372" t="s">
        <v>623</v>
      </c>
      <c r="K138" s="440"/>
      <c r="L138" s="406" t="s">
        <v>64</v>
      </c>
      <c r="M138" s="407"/>
      <c r="N138" s="21" t="s">
        <v>65</v>
      </c>
      <c r="O138" s="43" t="str">
        <f t="shared" si="0"/>
        <v>Vi</v>
      </c>
      <c r="P138" s="171" t="str">
        <f t="shared" si="1"/>
        <v>Vi</v>
      </c>
      <c r="Q138" s="21"/>
      <c r="R138" s="21"/>
      <c r="S138" s="21"/>
      <c r="T138" s="21"/>
      <c r="U138" s="21"/>
      <c r="V138" s="49" t="str">
        <f t="shared" si="51"/>
        <v/>
      </c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</row>
    <row r="139" spans="1:37" ht="27.75" customHeight="1">
      <c r="A139" s="37">
        <v>130</v>
      </c>
      <c r="B139" s="385" t="s">
        <v>303</v>
      </c>
      <c r="C139" s="85" t="s">
        <v>676</v>
      </c>
      <c r="D139" s="86">
        <v>1981</v>
      </c>
      <c r="E139" s="86"/>
      <c r="F139" s="85" t="s">
        <v>677</v>
      </c>
      <c r="G139" s="86" t="s">
        <v>678</v>
      </c>
      <c r="H139" s="86" t="s">
        <v>679</v>
      </c>
      <c r="I139" s="408"/>
      <c r="J139" s="86" t="s">
        <v>623</v>
      </c>
      <c r="K139" s="409"/>
      <c r="L139" s="410" t="s">
        <v>64</v>
      </c>
      <c r="M139" s="411"/>
      <c r="N139" s="21" t="s">
        <v>65</v>
      </c>
      <c r="O139" s="43" t="str">
        <f t="shared" si="0"/>
        <v>Trường</v>
      </c>
      <c r="P139" s="171" t="str">
        <f t="shared" si="1"/>
        <v>Trường</v>
      </c>
      <c r="Q139" s="21"/>
      <c r="R139" s="21"/>
      <c r="S139" s="21"/>
      <c r="T139" s="21"/>
      <c r="U139" s="21"/>
      <c r="V139" s="49" t="str">
        <f t="shared" si="51"/>
        <v/>
      </c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</row>
    <row r="140" spans="1:37" ht="27.75" customHeight="1">
      <c r="A140" s="37">
        <v>131</v>
      </c>
      <c r="B140" s="385" t="s">
        <v>303</v>
      </c>
      <c r="C140" s="85" t="s">
        <v>680</v>
      </c>
      <c r="D140" s="86"/>
      <c r="E140" s="86">
        <v>2001</v>
      </c>
      <c r="F140" s="85" t="s">
        <v>681</v>
      </c>
      <c r="G140" s="86" t="s">
        <v>682</v>
      </c>
      <c r="H140" s="86" t="s">
        <v>683</v>
      </c>
      <c r="I140" s="408"/>
      <c r="J140" s="86" t="s">
        <v>623</v>
      </c>
      <c r="K140" s="409"/>
      <c r="L140" s="410" t="s">
        <v>64</v>
      </c>
      <c r="M140" s="411"/>
      <c r="N140" s="21" t="s">
        <v>65</v>
      </c>
      <c r="O140" s="43" t="str">
        <f t="shared" si="0"/>
        <v>Yến</v>
      </c>
      <c r="P140" s="171" t="str">
        <f t="shared" si="1"/>
        <v>Yến</v>
      </c>
      <c r="Q140" s="21"/>
      <c r="R140" s="21"/>
      <c r="S140" s="21"/>
      <c r="T140" s="21"/>
      <c r="U140" s="21"/>
      <c r="V140" s="49" t="str">
        <f t="shared" si="51"/>
        <v/>
      </c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</row>
    <row r="141" spans="1:37" ht="27.75" customHeight="1" thickBot="1">
      <c r="A141" s="37">
        <v>132</v>
      </c>
      <c r="B141" s="388" t="s">
        <v>303</v>
      </c>
      <c r="C141" s="369" t="s">
        <v>684</v>
      </c>
      <c r="D141" s="370">
        <v>2004</v>
      </c>
      <c r="E141" s="370"/>
      <c r="F141" s="369" t="s">
        <v>681</v>
      </c>
      <c r="G141" s="370" t="s">
        <v>144</v>
      </c>
      <c r="H141" s="370"/>
      <c r="I141" s="428"/>
      <c r="J141" s="370" t="s">
        <v>623</v>
      </c>
      <c r="K141" s="429"/>
      <c r="L141" s="441" t="s">
        <v>64</v>
      </c>
      <c r="M141" s="442"/>
      <c r="N141" s="21" t="s">
        <v>65</v>
      </c>
      <c r="O141" s="43" t="str">
        <f t="shared" si="0"/>
        <v>Bảo</v>
      </c>
      <c r="P141" s="171" t="str">
        <f t="shared" si="1"/>
        <v>Bảo</v>
      </c>
      <c r="Q141" s="21"/>
      <c r="R141" s="21"/>
      <c r="S141" s="21"/>
      <c r="T141" s="21"/>
      <c r="U141" s="21"/>
      <c r="V141" s="49" t="str">
        <f t="shared" si="51"/>
        <v/>
      </c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</row>
    <row r="142" spans="1:37" ht="27.75" customHeight="1">
      <c r="A142" s="37">
        <v>133</v>
      </c>
      <c r="B142" s="389" t="s">
        <v>306</v>
      </c>
      <c r="C142" s="375" t="s">
        <v>685</v>
      </c>
      <c r="D142" s="376"/>
      <c r="E142" s="376" t="s">
        <v>686</v>
      </c>
      <c r="F142" s="375" t="s">
        <v>687</v>
      </c>
      <c r="G142" s="376" t="s">
        <v>688</v>
      </c>
      <c r="H142" s="376" t="s">
        <v>689</v>
      </c>
      <c r="I142" s="430" t="s">
        <v>690</v>
      </c>
      <c r="J142" s="376" t="s">
        <v>691</v>
      </c>
      <c r="K142" s="431" t="s">
        <v>63</v>
      </c>
      <c r="L142" s="443" t="s">
        <v>64</v>
      </c>
      <c r="M142" s="444"/>
      <c r="N142" s="21" t="s">
        <v>65</v>
      </c>
      <c r="O142" s="43" t="str">
        <f t="shared" si="0"/>
        <v>Mai</v>
      </c>
      <c r="P142" s="171" t="str">
        <f t="shared" si="1"/>
        <v>Mai</v>
      </c>
      <c r="Q142" s="21"/>
      <c r="R142" s="21"/>
      <c r="S142" s="21"/>
      <c r="T142" s="21"/>
      <c r="U142" s="21"/>
      <c r="V142" s="49" t="str">
        <f t="shared" si="51"/>
        <v/>
      </c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</row>
    <row r="143" spans="1:37" ht="27.75" customHeight="1">
      <c r="A143" s="37">
        <v>134</v>
      </c>
      <c r="B143" s="390" t="s">
        <v>306</v>
      </c>
      <c r="C143" s="373" t="s">
        <v>692</v>
      </c>
      <c r="D143" s="374" t="s">
        <v>686</v>
      </c>
      <c r="E143" s="374"/>
      <c r="F143" s="373" t="s">
        <v>693</v>
      </c>
      <c r="G143" s="374" t="s">
        <v>694</v>
      </c>
      <c r="H143" s="374" t="s">
        <v>695</v>
      </c>
      <c r="I143" s="433" t="s">
        <v>696</v>
      </c>
      <c r="J143" s="374" t="s">
        <v>691</v>
      </c>
      <c r="K143" s="434" t="s">
        <v>530</v>
      </c>
      <c r="L143" s="443" t="s">
        <v>127</v>
      </c>
      <c r="M143" s="444"/>
      <c r="N143" s="21" t="s">
        <v>65</v>
      </c>
      <c r="O143" s="43" t="str">
        <f t="shared" si="0"/>
        <v>Thông</v>
      </c>
      <c r="P143" s="171" t="str">
        <f t="shared" si="1"/>
        <v>Thông</v>
      </c>
      <c r="Q143" s="21"/>
      <c r="R143" s="21"/>
      <c r="S143" s="21"/>
      <c r="T143" s="21"/>
      <c r="U143" s="21"/>
      <c r="V143" s="49" t="str">
        <f t="shared" si="51"/>
        <v/>
      </c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</row>
    <row r="144" spans="1:37" ht="27.75" customHeight="1">
      <c r="A144" s="37">
        <v>135</v>
      </c>
      <c r="B144" s="390" t="s">
        <v>306</v>
      </c>
      <c r="C144" s="373" t="s">
        <v>697</v>
      </c>
      <c r="D144" s="374"/>
      <c r="E144" s="374" t="s">
        <v>698</v>
      </c>
      <c r="F144" s="373" t="s">
        <v>699</v>
      </c>
      <c r="G144" s="374" t="s">
        <v>700</v>
      </c>
      <c r="H144" s="374" t="s">
        <v>701</v>
      </c>
      <c r="I144" s="433"/>
      <c r="J144" s="374" t="s">
        <v>691</v>
      </c>
      <c r="K144" s="434" t="s">
        <v>529</v>
      </c>
      <c r="L144" s="443" t="s">
        <v>127</v>
      </c>
      <c r="M144" s="444"/>
      <c r="N144" s="21" t="s">
        <v>65</v>
      </c>
      <c r="O144" s="43" t="str">
        <f t="shared" si="0"/>
        <v>Mười</v>
      </c>
      <c r="P144" s="171" t="str">
        <f t="shared" si="1"/>
        <v>Mười</v>
      </c>
      <c r="Q144" s="21"/>
      <c r="R144" s="21"/>
      <c r="S144" s="21"/>
      <c r="T144" s="21"/>
      <c r="U144" s="21"/>
      <c r="V144" s="49" t="str">
        <f t="shared" si="51"/>
        <v/>
      </c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</row>
    <row r="145" spans="1:37" ht="27.75" customHeight="1">
      <c r="A145" s="37">
        <v>136</v>
      </c>
      <c r="B145" s="390" t="s">
        <v>306</v>
      </c>
      <c r="C145" s="373" t="s">
        <v>702</v>
      </c>
      <c r="D145" s="374" t="s">
        <v>703</v>
      </c>
      <c r="E145" s="374"/>
      <c r="F145" s="373" t="s">
        <v>693</v>
      </c>
      <c r="G145" s="374" t="s">
        <v>144</v>
      </c>
      <c r="H145" s="374"/>
      <c r="I145" s="433"/>
      <c r="J145" s="374" t="s">
        <v>691</v>
      </c>
      <c r="K145" s="434" t="s">
        <v>145</v>
      </c>
      <c r="L145" s="443" t="s">
        <v>64</v>
      </c>
      <c r="M145" s="444"/>
      <c r="N145" s="21" t="s">
        <v>65</v>
      </c>
      <c r="O145" s="43" t="str">
        <f t="shared" si="0"/>
        <v>Tín</v>
      </c>
      <c r="P145" s="171" t="str">
        <f t="shared" si="1"/>
        <v>Tín</v>
      </c>
      <c r="Q145" s="2"/>
      <c r="R145" s="2"/>
      <c r="S145" s="2"/>
      <c r="T145" s="2"/>
      <c r="U145" s="2"/>
      <c r="V145" s="49" t="str">
        <f t="shared" si="51"/>
        <v/>
      </c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</row>
    <row r="146" spans="1:37" ht="27.75" customHeight="1" thickBot="1">
      <c r="A146" s="37">
        <v>137</v>
      </c>
      <c r="B146" s="391" t="s">
        <v>306</v>
      </c>
      <c r="C146" s="377" t="s">
        <v>305</v>
      </c>
      <c r="D146" s="378"/>
      <c r="E146" s="378" t="s">
        <v>704</v>
      </c>
      <c r="F146" s="377" t="s">
        <v>705</v>
      </c>
      <c r="G146" s="378" t="s">
        <v>706</v>
      </c>
      <c r="H146" s="378" t="s">
        <v>707</v>
      </c>
      <c r="I146" s="437" t="s">
        <v>850</v>
      </c>
      <c r="J146" s="378" t="s">
        <v>691</v>
      </c>
      <c r="K146" s="438" t="s">
        <v>630</v>
      </c>
      <c r="L146" s="443"/>
      <c r="M146" s="444" t="s">
        <v>127</v>
      </c>
      <c r="N146" s="21" t="s">
        <v>65</v>
      </c>
      <c r="O146" s="43" t="str">
        <f t="shared" si="0"/>
        <v>Thảo</v>
      </c>
      <c r="P146" s="171" t="str">
        <f t="shared" si="1"/>
        <v/>
      </c>
      <c r="Q146" s="2"/>
      <c r="R146" s="2"/>
      <c r="S146" s="2"/>
      <c r="T146" s="2"/>
      <c r="U146" s="2"/>
      <c r="V146" s="49" t="str">
        <f t="shared" si="51"/>
        <v/>
      </c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</row>
    <row r="147" spans="1:37" ht="27.75" customHeight="1">
      <c r="A147" s="37">
        <v>138</v>
      </c>
      <c r="B147" s="389" t="s">
        <v>310</v>
      </c>
      <c r="C147" s="480" t="s">
        <v>709</v>
      </c>
      <c r="D147" s="481"/>
      <c r="E147" s="481" t="s">
        <v>710</v>
      </c>
      <c r="F147" s="480" t="s">
        <v>711</v>
      </c>
      <c r="G147" s="481" t="s">
        <v>712</v>
      </c>
      <c r="H147" s="481"/>
      <c r="I147" s="482" t="s">
        <v>713</v>
      </c>
      <c r="J147" s="481" t="s">
        <v>708</v>
      </c>
      <c r="K147" s="483" t="s">
        <v>63</v>
      </c>
      <c r="L147" s="443" t="s">
        <v>127</v>
      </c>
      <c r="M147" s="444"/>
      <c r="N147" s="21" t="s">
        <v>65</v>
      </c>
      <c r="O147" s="2" t="str">
        <f t="shared" si="0"/>
        <v>Ngọc</v>
      </c>
      <c r="P147" s="171" t="str">
        <f t="shared" si="1"/>
        <v>Ngọc</v>
      </c>
      <c r="Q147" s="2"/>
      <c r="R147" s="2"/>
      <c r="S147" s="2"/>
      <c r="T147" s="2"/>
      <c r="U147" s="2"/>
      <c r="V147" s="49" t="str">
        <f t="shared" si="51"/>
        <v/>
      </c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</row>
    <row r="148" spans="1:37" ht="27.75" customHeight="1">
      <c r="A148" s="37">
        <v>139</v>
      </c>
      <c r="B148" s="390" t="s">
        <v>310</v>
      </c>
      <c r="C148" s="484" t="s">
        <v>714</v>
      </c>
      <c r="D148" s="485" t="s">
        <v>377</v>
      </c>
      <c r="E148" s="485"/>
      <c r="F148" s="484" t="s">
        <v>718</v>
      </c>
      <c r="G148" s="485" t="s">
        <v>719</v>
      </c>
      <c r="H148" s="485"/>
      <c r="I148" s="486" t="s">
        <v>715</v>
      </c>
      <c r="J148" s="485" t="s">
        <v>708</v>
      </c>
      <c r="K148" s="487" t="s">
        <v>530</v>
      </c>
      <c r="L148" s="488" t="s">
        <v>127</v>
      </c>
      <c r="M148" s="489"/>
      <c r="N148" s="21" t="s">
        <v>65</v>
      </c>
      <c r="O148" s="2" t="str">
        <f t="shared" si="0"/>
        <v>Phát</v>
      </c>
      <c r="P148" s="171" t="str">
        <f t="shared" si="1"/>
        <v>Phát</v>
      </c>
      <c r="Q148" s="2"/>
      <c r="R148" s="2"/>
      <c r="S148" s="2"/>
      <c r="T148" s="2"/>
      <c r="U148" s="2"/>
      <c r="V148" s="49" t="str">
        <f t="shared" si="51"/>
        <v/>
      </c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</row>
    <row r="149" spans="1:37" ht="27.75" customHeight="1">
      <c r="A149" s="37">
        <v>140</v>
      </c>
      <c r="B149" s="390" t="s">
        <v>310</v>
      </c>
      <c r="C149" s="484" t="s">
        <v>716</v>
      </c>
      <c r="D149" s="485"/>
      <c r="E149" s="485" t="s">
        <v>717</v>
      </c>
      <c r="F149" s="484" t="s">
        <v>711</v>
      </c>
      <c r="G149" s="485" t="s">
        <v>324</v>
      </c>
      <c r="H149" s="485"/>
      <c r="I149" s="486"/>
      <c r="J149" s="485" t="s">
        <v>708</v>
      </c>
      <c r="K149" s="487" t="s">
        <v>145</v>
      </c>
      <c r="L149" s="488" t="s">
        <v>127</v>
      </c>
      <c r="M149" s="489"/>
      <c r="N149" s="21" t="s">
        <v>65</v>
      </c>
      <c r="O149" s="2" t="str">
        <f t="shared" si="0"/>
        <v>Lan</v>
      </c>
      <c r="P149" s="171" t="str">
        <f t="shared" si="1"/>
        <v>Lan</v>
      </c>
      <c r="Q149" s="2"/>
      <c r="R149" s="2"/>
      <c r="S149" s="2"/>
      <c r="T149" s="2"/>
      <c r="U149" s="2"/>
      <c r="V149" s="49" t="str">
        <f t="shared" si="51"/>
        <v/>
      </c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</row>
    <row r="150" spans="1:37" ht="27.75" customHeight="1" thickBot="1">
      <c r="A150" s="37">
        <v>141</v>
      </c>
      <c r="B150" s="391" t="s">
        <v>310</v>
      </c>
      <c r="C150" s="490" t="s">
        <v>720</v>
      </c>
      <c r="D150" s="491" t="s">
        <v>472</v>
      </c>
      <c r="E150" s="491"/>
      <c r="F150" s="490" t="s">
        <v>721</v>
      </c>
      <c r="G150" s="491" t="s">
        <v>722</v>
      </c>
      <c r="H150" s="491"/>
      <c r="I150" s="492"/>
      <c r="J150" s="491" t="s">
        <v>708</v>
      </c>
      <c r="K150" s="493" t="s">
        <v>396</v>
      </c>
      <c r="L150" s="488" t="s">
        <v>127</v>
      </c>
      <c r="M150" s="489"/>
      <c r="N150" s="21" t="s">
        <v>65</v>
      </c>
      <c r="O150" s="2" t="str">
        <f t="shared" si="0"/>
        <v>Hòa</v>
      </c>
      <c r="P150" s="171" t="str">
        <f t="shared" si="1"/>
        <v>Hòa</v>
      </c>
      <c r="Q150" s="2"/>
      <c r="R150" s="2"/>
      <c r="S150" s="2"/>
      <c r="T150" s="2"/>
      <c r="U150" s="2"/>
      <c r="V150" s="49" t="str">
        <f t="shared" si="51"/>
        <v/>
      </c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</row>
    <row r="151" spans="1:37" ht="16.5" customHeight="1">
      <c r="A151" s="2"/>
      <c r="B151" s="11"/>
      <c r="C151" s="2"/>
      <c r="D151" s="3"/>
      <c r="E151" s="3"/>
      <c r="F151" s="2"/>
      <c r="G151" s="12"/>
      <c r="H151" s="12"/>
      <c r="I151" s="13"/>
      <c r="J151" s="13"/>
      <c r="K151" s="15"/>
      <c r="L151" s="3"/>
      <c r="M151" s="6"/>
      <c r="N151" s="21" t="s">
        <v>65</v>
      </c>
      <c r="O151" s="2"/>
      <c r="P151" s="171"/>
      <c r="Q151" s="2"/>
      <c r="R151" s="2"/>
      <c r="S151" s="2"/>
      <c r="T151" s="2"/>
      <c r="U151" s="2"/>
      <c r="V151" s="49" t="str">
        <f t="shared" si="51"/>
        <v/>
      </c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</row>
    <row r="152" spans="1:37" ht="16.5" customHeight="1">
      <c r="A152" s="2"/>
      <c r="B152" s="11"/>
      <c r="C152" s="2"/>
      <c r="D152" s="3"/>
      <c r="E152" s="3"/>
      <c r="F152" s="2"/>
      <c r="G152" s="12"/>
      <c r="H152" s="12"/>
      <c r="I152" s="13"/>
      <c r="J152" s="13"/>
      <c r="K152" s="15"/>
      <c r="L152" s="3"/>
      <c r="M152" s="6"/>
      <c r="N152" s="21" t="s">
        <v>65</v>
      </c>
      <c r="O152" s="2"/>
      <c r="P152" s="171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</row>
    <row r="153" spans="1:37" ht="16.5" customHeight="1">
      <c r="A153" s="2"/>
      <c r="B153" s="11"/>
      <c r="C153" s="2"/>
      <c r="D153" s="3"/>
      <c r="E153" s="3"/>
      <c r="F153" s="2"/>
      <c r="G153" s="12"/>
      <c r="H153" s="12"/>
      <c r="I153" s="13"/>
      <c r="J153" s="13"/>
      <c r="K153" s="15"/>
      <c r="L153" s="3"/>
      <c r="M153" s="6"/>
      <c r="N153" s="21" t="s">
        <v>65</v>
      </c>
      <c r="O153" s="2"/>
      <c r="P153" s="171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</row>
    <row r="154" spans="1:37" ht="16.5" customHeight="1">
      <c r="A154" s="2"/>
      <c r="B154" s="11"/>
      <c r="C154" s="2"/>
      <c r="D154" s="3"/>
      <c r="E154" s="3"/>
      <c r="F154" s="2"/>
      <c r="G154" s="12"/>
      <c r="H154" s="12"/>
      <c r="I154" s="13"/>
      <c r="J154" s="13"/>
      <c r="K154" s="15"/>
      <c r="L154" s="3"/>
      <c r="M154" s="6"/>
      <c r="N154" s="21"/>
      <c r="O154" s="2"/>
      <c r="P154" s="171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</row>
    <row r="155" spans="1:37" ht="16.5" customHeight="1">
      <c r="A155" s="2"/>
      <c r="B155" s="11"/>
      <c r="C155" s="2"/>
      <c r="D155" s="3"/>
      <c r="E155" s="3"/>
      <c r="F155" s="2"/>
      <c r="G155" s="12"/>
      <c r="H155" s="12"/>
      <c r="I155" s="13"/>
      <c r="J155" s="13"/>
      <c r="K155" s="15"/>
      <c r="L155" s="3"/>
      <c r="M155" s="6"/>
      <c r="N155" s="21"/>
      <c r="O155" s="2"/>
      <c r="P155" s="171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</row>
    <row r="156" spans="1:37" ht="16.5" customHeight="1">
      <c r="A156" s="2"/>
      <c r="B156" s="11"/>
      <c r="C156" s="2"/>
      <c r="D156" s="3"/>
      <c r="E156" s="3"/>
      <c r="F156" s="2"/>
      <c r="G156" s="12"/>
      <c r="H156" s="12"/>
      <c r="I156" s="13"/>
      <c r="J156" s="13"/>
      <c r="K156" s="15"/>
      <c r="L156" s="3"/>
      <c r="M156" s="6"/>
      <c r="N156" s="21"/>
      <c r="O156" s="2"/>
      <c r="P156" s="171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</row>
    <row r="157" spans="1:37" ht="16.5" customHeight="1">
      <c r="A157" s="2"/>
      <c r="B157" s="11"/>
      <c r="C157" s="2"/>
      <c r="D157" s="3"/>
      <c r="E157" s="3"/>
      <c r="F157" s="2"/>
      <c r="G157" s="12"/>
      <c r="H157" s="12"/>
      <c r="I157" s="13"/>
      <c r="J157" s="13"/>
      <c r="K157" s="15"/>
      <c r="L157" s="3"/>
      <c r="M157" s="6"/>
      <c r="N157" s="21"/>
      <c r="O157" s="2"/>
      <c r="P157" s="171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</row>
    <row r="158" spans="1:37" ht="16.5" customHeight="1">
      <c r="A158" s="2"/>
      <c r="B158" s="11"/>
      <c r="C158" s="2"/>
      <c r="D158" s="3"/>
      <c r="E158" s="3"/>
      <c r="F158" s="2"/>
      <c r="G158" s="12"/>
      <c r="H158" s="12"/>
      <c r="I158" s="13"/>
      <c r="J158" s="13"/>
      <c r="K158" s="15"/>
      <c r="L158" s="3"/>
      <c r="M158" s="6"/>
      <c r="N158" s="21"/>
      <c r="O158" s="2"/>
      <c r="P158" s="171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</row>
    <row r="159" spans="1:37" ht="16.5" customHeight="1">
      <c r="A159" s="2"/>
      <c r="B159" s="11"/>
      <c r="C159" s="2"/>
      <c r="D159" s="3"/>
      <c r="E159" s="3"/>
      <c r="F159" s="2"/>
      <c r="G159" s="12"/>
      <c r="H159" s="12"/>
      <c r="I159" s="13"/>
      <c r="J159" s="13"/>
      <c r="K159" s="15"/>
      <c r="L159" s="3"/>
      <c r="M159" s="6"/>
      <c r="N159" s="21"/>
      <c r="O159" s="2"/>
      <c r="P159" s="171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</row>
    <row r="160" spans="1:37" ht="16.5" customHeight="1">
      <c r="A160" s="2"/>
      <c r="B160" s="11"/>
      <c r="C160" s="2"/>
      <c r="D160" s="3"/>
      <c r="E160" s="3"/>
      <c r="F160" s="2"/>
      <c r="G160" s="12"/>
      <c r="H160" s="12"/>
      <c r="I160" s="13"/>
      <c r="J160" s="13"/>
      <c r="K160" s="15"/>
      <c r="L160" s="3"/>
      <c r="M160" s="6"/>
      <c r="N160" s="21"/>
      <c r="O160" s="2"/>
      <c r="P160" s="171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</row>
    <row r="161" spans="1:37" ht="16.5" customHeight="1">
      <c r="A161" s="2"/>
      <c r="B161" s="11"/>
      <c r="C161" s="2"/>
      <c r="D161" s="3"/>
      <c r="E161" s="3"/>
      <c r="F161" s="2"/>
      <c r="G161" s="12"/>
      <c r="H161" s="12"/>
      <c r="I161" s="13"/>
      <c r="J161" s="13"/>
      <c r="K161" s="15"/>
      <c r="L161" s="3"/>
      <c r="M161" s="6"/>
      <c r="N161" s="21"/>
      <c r="O161" s="2"/>
      <c r="P161" s="171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</row>
    <row r="162" spans="1:37" ht="16.5" customHeight="1">
      <c r="A162" s="2"/>
      <c r="B162" s="11"/>
      <c r="C162" s="2"/>
      <c r="D162" s="3"/>
      <c r="E162" s="3"/>
      <c r="F162" s="2"/>
      <c r="G162" s="12"/>
      <c r="H162" s="12"/>
      <c r="I162" s="13"/>
      <c r="J162" s="13"/>
      <c r="K162" s="15"/>
      <c r="L162" s="3"/>
      <c r="M162" s="6"/>
      <c r="N162" s="21"/>
      <c r="O162" s="2"/>
      <c r="P162" s="171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</row>
    <row r="163" spans="1:37" ht="16.5" customHeight="1">
      <c r="A163" s="2"/>
      <c r="B163" s="11"/>
      <c r="C163" s="2"/>
      <c r="D163" s="3"/>
      <c r="E163" s="3"/>
      <c r="F163" s="2"/>
      <c r="G163" s="12"/>
      <c r="H163" s="12"/>
      <c r="I163" s="13"/>
      <c r="J163" s="13"/>
      <c r="K163" s="15"/>
      <c r="L163" s="3"/>
      <c r="M163" s="6"/>
      <c r="N163" s="21"/>
      <c r="O163" s="2"/>
      <c r="P163" s="171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</row>
    <row r="164" spans="1:37" ht="16.5" customHeight="1">
      <c r="A164" s="2"/>
      <c r="B164" s="11"/>
      <c r="C164" s="2"/>
      <c r="D164" s="3"/>
      <c r="E164" s="3"/>
      <c r="F164" s="2"/>
      <c r="G164" s="12"/>
      <c r="H164" s="12"/>
      <c r="I164" s="13"/>
      <c r="J164" s="13"/>
      <c r="K164" s="15"/>
      <c r="L164" s="3"/>
      <c r="M164" s="6"/>
      <c r="N164" s="21"/>
      <c r="O164" s="2"/>
      <c r="P164" s="171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</row>
    <row r="165" spans="1:37" ht="16.5" customHeight="1">
      <c r="A165" s="2"/>
      <c r="B165" s="11"/>
      <c r="C165" s="2"/>
      <c r="D165" s="3"/>
      <c r="E165" s="3"/>
      <c r="F165" s="2"/>
      <c r="G165" s="12"/>
      <c r="H165" s="12"/>
      <c r="I165" s="13"/>
      <c r="J165" s="13"/>
      <c r="K165" s="15"/>
      <c r="L165" s="3"/>
      <c r="M165" s="6"/>
      <c r="N165" s="21"/>
      <c r="O165" s="2"/>
      <c r="P165" s="171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</row>
    <row r="166" spans="1:37" ht="16.5" customHeight="1">
      <c r="A166" s="2"/>
      <c r="B166" s="11"/>
      <c r="C166" s="2"/>
      <c r="D166" s="3"/>
      <c r="E166" s="3"/>
      <c r="F166" s="2"/>
      <c r="G166" s="12"/>
      <c r="H166" s="12"/>
      <c r="I166" s="13"/>
      <c r="J166" s="13"/>
      <c r="K166" s="15"/>
      <c r="L166" s="3"/>
      <c r="M166" s="6"/>
      <c r="N166" s="21"/>
      <c r="O166" s="2"/>
      <c r="P166" s="171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</row>
    <row r="167" spans="1:37" ht="16.5" customHeight="1">
      <c r="A167" s="2"/>
      <c r="B167" s="11"/>
      <c r="C167" s="2"/>
      <c r="D167" s="3"/>
      <c r="E167" s="3"/>
      <c r="F167" s="2"/>
      <c r="G167" s="12"/>
      <c r="H167" s="12"/>
      <c r="I167" s="13"/>
      <c r="J167" s="13"/>
      <c r="K167" s="15"/>
      <c r="L167" s="3"/>
      <c r="M167" s="6"/>
      <c r="N167" s="21"/>
      <c r="O167" s="2"/>
      <c r="P167" s="171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</row>
    <row r="168" spans="1:37" ht="16.5" customHeight="1">
      <c r="A168" s="2"/>
      <c r="B168" s="11"/>
      <c r="C168" s="2"/>
      <c r="D168" s="3"/>
      <c r="E168" s="3"/>
      <c r="F168" s="2"/>
      <c r="G168" s="12"/>
      <c r="H168" s="12"/>
      <c r="I168" s="13"/>
      <c r="J168" s="13"/>
      <c r="K168" s="15"/>
      <c r="L168" s="3"/>
      <c r="M168" s="6"/>
      <c r="N168" s="21"/>
      <c r="O168" s="2"/>
      <c r="P168" s="171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</row>
    <row r="169" spans="1:37" ht="16.5" customHeight="1">
      <c r="A169" s="2"/>
      <c r="B169" s="11"/>
      <c r="C169" s="2"/>
      <c r="D169" s="3"/>
      <c r="E169" s="3"/>
      <c r="F169" s="2"/>
      <c r="G169" s="12"/>
      <c r="H169" s="12"/>
      <c r="I169" s="13"/>
      <c r="J169" s="13"/>
      <c r="K169" s="15"/>
      <c r="L169" s="3"/>
      <c r="M169" s="6"/>
      <c r="N169" s="21"/>
      <c r="O169" s="2"/>
      <c r="P169" s="171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</row>
    <row r="170" spans="1:37" ht="16.5" customHeight="1">
      <c r="A170" s="2"/>
      <c r="B170" s="11"/>
      <c r="C170" s="2"/>
      <c r="D170" s="3"/>
      <c r="E170" s="3"/>
      <c r="F170" s="2"/>
      <c r="G170" s="12"/>
      <c r="H170" s="12"/>
      <c r="I170" s="13"/>
      <c r="J170" s="13"/>
      <c r="K170" s="15"/>
      <c r="L170" s="3"/>
      <c r="M170" s="6"/>
      <c r="N170" s="21"/>
      <c r="O170" s="2"/>
      <c r="P170" s="171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</row>
    <row r="171" spans="1:37" ht="16.5" customHeight="1">
      <c r="A171" s="2"/>
      <c r="B171" s="11"/>
      <c r="C171" s="2"/>
      <c r="D171" s="3"/>
      <c r="E171" s="3"/>
      <c r="F171" s="2"/>
      <c r="G171" s="12"/>
      <c r="H171" s="12"/>
      <c r="I171" s="13"/>
      <c r="J171" s="13"/>
      <c r="K171" s="15"/>
      <c r="L171" s="3"/>
      <c r="M171" s="6"/>
      <c r="N171" s="21"/>
      <c r="O171" s="2"/>
      <c r="P171" s="171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</row>
    <row r="172" spans="1:37" ht="16.5" customHeight="1">
      <c r="A172" s="2"/>
      <c r="B172" s="11"/>
      <c r="C172" s="2"/>
      <c r="D172" s="3"/>
      <c r="E172" s="3"/>
      <c r="F172" s="2"/>
      <c r="G172" s="12"/>
      <c r="H172" s="12"/>
      <c r="I172" s="13"/>
      <c r="J172" s="13"/>
      <c r="K172" s="15"/>
      <c r="L172" s="3"/>
      <c r="M172" s="6"/>
      <c r="N172" s="21"/>
      <c r="O172" s="2"/>
      <c r="P172" s="171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</row>
    <row r="173" spans="1:37" ht="16.5" customHeight="1">
      <c r="A173" s="2"/>
      <c r="B173" s="11"/>
      <c r="C173" s="2"/>
      <c r="D173" s="3"/>
      <c r="E173" s="3"/>
      <c r="F173" s="2"/>
      <c r="G173" s="12"/>
      <c r="H173" s="12"/>
      <c r="I173" s="13"/>
      <c r="J173" s="13"/>
      <c r="K173" s="15"/>
      <c r="L173" s="3"/>
      <c r="M173" s="6"/>
      <c r="N173" s="21"/>
      <c r="O173" s="2"/>
      <c r="P173" s="171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</row>
    <row r="174" spans="1:37" ht="16.5" customHeight="1">
      <c r="A174" s="2"/>
      <c r="B174" s="11"/>
      <c r="C174" s="2"/>
      <c r="D174" s="3"/>
      <c r="E174" s="3"/>
      <c r="F174" s="2"/>
      <c r="G174" s="12"/>
      <c r="H174" s="12"/>
      <c r="I174" s="13"/>
      <c r="J174" s="13"/>
      <c r="K174" s="15"/>
      <c r="L174" s="3"/>
      <c r="M174" s="6"/>
      <c r="N174" s="21"/>
      <c r="O174" s="2"/>
      <c r="P174" s="171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</row>
    <row r="175" spans="1:37" ht="16.5" customHeight="1">
      <c r="A175" s="2"/>
      <c r="B175" s="11"/>
      <c r="C175" s="2"/>
      <c r="D175" s="3"/>
      <c r="E175" s="3"/>
      <c r="F175" s="2"/>
      <c r="G175" s="12"/>
      <c r="H175" s="12"/>
      <c r="I175" s="13"/>
      <c r="J175" s="13"/>
      <c r="K175" s="15"/>
      <c r="L175" s="3"/>
      <c r="M175" s="6"/>
      <c r="N175" s="21"/>
      <c r="O175" s="2"/>
      <c r="P175" s="171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</row>
    <row r="176" spans="1:37" ht="16.5" customHeight="1">
      <c r="A176" s="2"/>
      <c r="B176" s="11"/>
      <c r="C176" s="2"/>
      <c r="D176" s="3"/>
      <c r="E176" s="3"/>
      <c r="F176" s="2"/>
      <c r="G176" s="12"/>
      <c r="H176" s="12"/>
      <c r="I176" s="13"/>
      <c r="J176" s="13"/>
      <c r="K176" s="15"/>
      <c r="L176" s="3"/>
      <c r="M176" s="6"/>
      <c r="N176" s="21"/>
      <c r="O176" s="2"/>
      <c r="P176" s="171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</row>
    <row r="177" spans="1:37" ht="16.5" customHeight="1">
      <c r="A177" s="2"/>
      <c r="B177" s="11"/>
      <c r="C177" s="2"/>
      <c r="D177" s="3"/>
      <c r="E177" s="3"/>
      <c r="F177" s="2"/>
      <c r="G177" s="12"/>
      <c r="H177" s="12"/>
      <c r="I177" s="13"/>
      <c r="J177" s="13"/>
      <c r="K177" s="15"/>
      <c r="L177" s="3"/>
      <c r="M177" s="6"/>
      <c r="N177" s="21"/>
      <c r="O177" s="2"/>
      <c r="P177" s="171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</row>
    <row r="178" spans="1:37" ht="16.5" customHeight="1">
      <c r="A178" s="2"/>
      <c r="B178" s="11"/>
      <c r="C178" s="2"/>
      <c r="D178" s="3"/>
      <c r="E178" s="3"/>
      <c r="F178" s="2"/>
      <c r="G178" s="12"/>
      <c r="H178" s="12"/>
      <c r="I178" s="13"/>
      <c r="J178" s="13"/>
      <c r="K178" s="15"/>
      <c r="L178" s="3"/>
      <c r="M178" s="6"/>
      <c r="N178" s="21"/>
      <c r="O178" s="2"/>
      <c r="P178" s="171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</row>
    <row r="179" spans="1:37" ht="16.5" customHeight="1">
      <c r="A179" s="2"/>
      <c r="B179" s="11"/>
      <c r="C179" s="2"/>
      <c r="D179" s="3"/>
      <c r="E179" s="3"/>
      <c r="F179" s="2"/>
      <c r="G179" s="12"/>
      <c r="H179" s="12"/>
      <c r="I179" s="13"/>
      <c r="J179" s="13"/>
      <c r="K179" s="15"/>
      <c r="L179" s="3"/>
      <c r="M179" s="6"/>
      <c r="N179" s="21"/>
      <c r="O179" s="2"/>
      <c r="P179" s="171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</row>
    <row r="180" spans="1:37" ht="16.5" customHeight="1">
      <c r="A180" s="2"/>
      <c r="B180" s="11"/>
      <c r="C180" s="2"/>
      <c r="D180" s="3"/>
      <c r="E180" s="3"/>
      <c r="F180" s="2"/>
      <c r="G180" s="12"/>
      <c r="H180" s="12"/>
      <c r="I180" s="13"/>
      <c r="J180" s="13"/>
      <c r="K180" s="15"/>
      <c r="L180" s="3"/>
      <c r="M180" s="6"/>
      <c r="N180" s="21"/>
      <c r="O180" s="2"/>
      <c r="P180" s="171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</row>
    <row r="181" spans="1:37" ht="16.5" customHeight="1">
      <c r="A181" s="2"/>
      <c r="B181" s="11"/>
      <c r="C181" s="2"/>
      <c r="D181" s="3"/>
      <c r="E181" s="3"/>
      <c r="F181" s="2"/>
      <c r="G181" s="12"/>
      <c r="H181" s="12"/>
      <c r="I181" s="13"/>
      <c r="J181" s="13"/>
      <c r="K181" s="15"/>
      <c r="L181" s="3"/>
      <c r="M181" s="6"/>
      <c r="N181" s="21"/>
      <c r="O181" s="2"/>
      <c r="P181" s="171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</row>
    <row r="182" spans="1:37" ht="16.5" customHeight="1">
      <c r="A182" s="2"/>
      <c r="B182" s="11"/>
      <c r="C182" s="2"/>
      <c r="D182" s="3"/>
      <c r="E182" s="3"/>
      <c r="F182" s="2"/>
      <c r="G182" s="12"/>
      <c r="H182" s="12"/>
      <c r="I182" s="13"/>
      <c r="J182" s="13"/>
      <c r="K182" s="15"/>
      <c r="L182" s="3"/>
      <c r="M182" s="6"/>
      <c r="N182" s="21"/>
      <c r="O182" s="2"/>
      <c r="P182" s="171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</row>
    <row r="183" spans="1:37" ht="16.5" customHeight="1">
      <c r="A183" s="2"/>
      <c r="B183" s="11"/>
      <c r="C183" s="2"/>
      <c r="D183" s="3"/>
      <c r="E183" s="3"/>
      <c r="F183" s="2"/>
      <c r="G183" s="12"/>
      <c r="H183" s="12"/>
      <c r="I183" s="13"/>
      <c r="J183" s="13"/>
      <c r="K183" s="15"/>
      <c r="L183" s="3"/>
      <c r="M183" s="6"/>
      <c r="N183" s="21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</row>
    <row r="184" spans="1:37" ht="16.5" customHeight="1">
      <c r="A184" s="2"/>
      <c r="B184" s="11"/>
      <c r="C184" s="2"/>
      <c r="D184" s="3"/>
      <c r="E184" s="3"/>
      <c r="F184" s="2"/>
      <c r="G184" s="12"/>
      <c r="H184" s="12"/>
      <c r="I184" s="13"/>
      <c r="J184" s="13"/>
      <c r="K184" s="15"/>
      <c r="L184" s="3"/>
      <c r="M184" s="6"/>
      <c r="N184" s="21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</row>
    <row r="185" spans="1:37" ht="16.5" customHeight="1">
      <c r="A185" s="2"/>
      <c r="B185" s="11"/>
      <c r="C185" s="2"/>
      <c r="D185" s="3"/>
      <c r="E185" s="3"/>
      <c r="F185" s="2"/>
      <c r="G185" s="12"/>
      <c r="H185" s="12"/>
      <c r="I185" s="13"/>
      <c r="J185" s="13"/>
      <c r="K185" s="15"/>
      <c r="L185" s="3"/>
      <c r="M185" s="6"/>
      <c r="N185" s="21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</row>
    <row r="186" spans="1:37" ht="16.5" customHeight="1">
      <c r="A186" s="2"/>
      <c r="B186" s="11"/>
      <c r="C186" s="2"/>
      <c r="D186" s="3"/>
      <c r="E186" s="3"/>
      <c r="F186" s="2"/>
      <c r="G186" s="12"/>
      <c r="H186" s="12"/>
      <c r="I186" s="13"/>
      <c r="J186" s="13"/>
      <c r="K186" s="15"/>
      <c r="L186" s="3"/>
      <c r="M186" s="6"/>
      <c r="N186" s="21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</row>
    <row r="187" spans="1:37" ht="16.5" customHeight="1">
      <c r="A187" s="2"/>
      <c r="B187" s="11"/>
      <c r="C187" s="2"/>
      <c r="D187" s="3"/>
      <c r="E187" s="3"/>
      <c r="F187" s="2"/>
      <c r="G187" s="12"/>
      <c r="H187" s="12"/>
      <c r="I187" s="13"/>
      <c r="J187" s="13"/>
      <c r="K187" s="15"/>
      <c r="L187" s="3"/>
      <c r="M187" s="6"/>
      <c r="N187" s="21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</row>
    <row r="188" spans="1:37" ht="16.5" customHeight="1">
      <c r="A188" s="2"/>
      <c r="B188" s="11"/>
      <c r="C188" s="2"/>
      <c r="D188" s="3"/>
      <c r="E188" s="3"/>
      <c r="F188" s="2"/>
      <c r="G188" s="12"/>
      <c r="H188" s="12"/>
      <c r="I188" s="13"/>
      <c r="J188" s="13"/>
      <c r="K188" s="15"/>
      <c r="L188" s="3"/>
      <c r="M188" s="6"/>
      <c r="N188" s="21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</row>
    <row r="189" spans="1:37" ht="16.5" customHeight="1">
      <c r="A189" s="2"/>
      <c r="B189" s="11"/>
      <c r="C189" s="2"/>
      <c r="D189" s="3"/>
      <c r="E189" s="3"/>
      <c r="F189" s="2"/>
      <c r="G189" s="12"/>
      <c r="H189" s="12"/>
      <c r="I189" s="13"/>
      <c r="J189" s="13"/>
      <c r="K189" s="15"/>
      <c r="L189" s="3"/>
      <c r="M189" s="6"/>
      <c r="N189" s="21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</row>
    <row r="190" spans="1:37" ht="16.5" customHeight="1">
      <c r="A190" s="2"/>
      <c r="B190" s="11"/>
      <c r="C190" s="2"/>
      <c r="D190" s="3"/>
      <c r="E190" s="3"/>
      <c r="F190" s="2"/>
      <c r="G190" s="12"/>
      <c r="H190" s="12"/>
      <c r="I190" s="13"/>
      <c r="J190" s="13"/>
      <c r="K190" s="15"/>
      <c r="L190" s="3"/>
      <c r="M190" s="6"/>
      <c r="N190" s="21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</row>
    <row r="191" spans="1:37" ht="16.5" customHeight="1">
      <c r="A191" s="2"/>
      <c r="B191" s="11"/>
      <c r="C191" s="2"/>
      <c r="D191" s="3"/>
      <c r="E191" s="3"/>
      <c r="F191" s="2"/>
      <c r="G191" s="12"/>
      <c r="H191" s="12"/>
      <c r="I191" s="13"/>
      <c r="J191" s="13"/>
      <c r="K191" s="15"/>
      <c r="L191" s="3"/>
      <c r="M191" s="6"/>
      <c r="N191" s="21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</row>
    <row r="192" spans="1:37" ht="16.5" customHeight="1">
      <c r="A192" s="2"/>
      <c r="B192" s="11"/>
      <c r="C192" s="2"/>
      <c r="D192" s="3"/>
      <c r="E192" s="3"/>
      <c r="F192" s="2"/>
      <c r="G192" s="12"/>
      <c r="H192" s="12"/>
      <c r="I192" s="13"/>
      <c r="J192" s="13"/>
      <c r="K192" s="15"/>
      <c r="L192" s="3"/>
      <c r="M192" s="6"/>
      <c r="N192" s="21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</row>
    <row r="193" spans="1:37" ht="16.5" customHeight="1">
      <c r="A193" s="2"/>
      <c r="B193" s="11"/>
      <c r="C193" s="2"/>
      <c r="D193" s="3"/>
      <c r="E193" s="3"/>
      <c r="F193" s="2"/>
      <c r="G193" s="12"/>
      <c r="H193" s="12"/>
      <c r="I193" s="13"/>
      <c r="J193" s="13"/>
      <c r="K193" s="15"/>
      <c r="L193" s="3"/>
      <c r="M193" s="6"/>
      <c r="N193" s="21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</row>
    <row r="194" spans="1:37" ht="16.5" customHeight="1">
      <c r="A194" s="2"/>
      <c r="B194" s="11"/>
      <c r="C194" s="2"/>
      <c r="D194" s="3"/>
      <c r="E194" s="3"/>
      <c r="F194" s="2"/>
      <c r="G194" s="12"/>
      <c r="H194" s="12"/>
      <c r="I194" s="13"/>
      <c r="J194" s="13"/>
      <c r="K194" s="15"/>
      <c r="L194" s="3"/>
      <c r="M194" s="6"/>
      <c r="N194" s="21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</row>
    <row r="195" spans="1:37" ht="16.5" customHeight="1">
      <c r="A195" s="2"/>
      <c r="B195" s="11"/>
      <c r="C195" s="2"/>
      <c r="D195" s="3"/>
      <c r="E195" s="3"/>
      <c r="F195" s="2"/>
      <c r="G195" s="12"/>
      <c r="H195" s="12"/>
      <c r="I195" s="13"/>
      <c r="J195" s="13"/>
      <c r="K195" s="15"/>
      <c r="L195" s="3"/>
      <c r="M195" s="6"/>
      <c r="N195" s="21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</row>
    <row r="196" spans="1:37" ht="16.5" customHeight="1">
      <c r="A196" s="2"/>
      <c r="B196" s="11"/>
      <c r="C196" s="2"/>
      <c r="D196" s="3"/>
      <c r="E196" s="3"/>
      <c r="F196" s="2"/>
      <c r="G196" s="12"/>
      <c r="H196" s="12"/>
      <c r="I196" s="13"/>
      <c r="J196" s="13"/>
      <c r="K196" s="15"/>
      <c r="L196" s="3"/>
      <c r="M196" s="6"/>
      <c r="N196" s="21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</row>
    <row r="197" spans="1:37" ht="16.5" customHeight="1">
      <c r="A197" s="2"/>
      <c r="B197" s="11"/>
      <c r="C197" s="2"/>
      <c r="D197" s="3"/>
      <c r="E197" s="3"/>
      <c r="F197" s="2"/>
      <c r="G197" s="12"/>
      <c r="H197" s="12"/>
      <c r="I197" s="13"/>
      <c r="J197" s="13"/>
      <c r="K197" s="15"/>
      <c r="L197" s="3"/>
      <c r="M197" s="6"/>
      <c r="N197" s="21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</row>
    <row r="198" spans="1:37" ht="16.5" customHeight="1">
      <c r="A198" s="2"/>
      <c r="B198" s="11"/>
      <c r="C198" s="2"/>
      <c r="D198" s="3"/>
      <c r="E198" s="3"/>
      <c r="F198" s="2"/>
      <c r="G198" s="12"/>
      <c r="H198" s="12"/>
      <c r="I198" s="13"/>
      <c r="J198" s="13"/>
      <c r="K198" s="15"/>
      <c r="L198" s="3"/>
      <c r="M198" s="6"/>
      <c r="N198" s="21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</row>
    <row r="199" spans="1:37" ht="16.5" customHeight="1">
      <c r="A199" s="2"/>
      <c r="B199" s="11"/>
      <c r="C199" s="2"/>
      <c r="D199" s="3"/>
      <c r="E199" s="3"/>
      <c r="F199" s="2"/>
      <c r="G199" s="12"/>
      <c r="H199" s="12"/>
      <c r="I199" s="13"/>
      <c r="J199" s="13"/>
      <c r="K199" s="15"/>
      <c r="L199" s="3"/>
      <c r="M199" s="6"/>
      <c r="N199" s="21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</row>
    <row r="200" spans="1:37" ht="16.5" customHeight="1">
      <c r="A200" s="2"/>
      <c r="B200" s="11"/>
      <c r="C200" s="2"/>
      <c r="D200" s="3"/>
      <c r="E200" s="3"/>
      <c r="F200" s="2"/>
      <c r="G200" s="12"/>
      <c r="H200" s="12"/>
      <c r="I200" s="13"/>
      <c r="J200" s="13"/>
      <c r="K200" s="15"/>
      <c r="L200" s="3"/>
      <c r="M200" s="6"/>
      <c r="N200" s="21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</row>
    <row r="201" spans="1:37" ht="16.5" customHeight="1">
      <c r="A201" s="2"/>
      <c r="B201" s="11"/>
      <c r="C201" s="2"/>
      <c r="D201" s="3"/>
      <c r="E201" s="3"/>
      <c r="F201" s="2"/>
      <c r="G201" s="12"/>
      <c r="H201" s="12"/>
      <c r="I201" s="13"/>
      <c r="J201" s="13"/>
      <c r="K201" s="15"/>
      <c r="L201" s="3"/>
      <c r="M201" s="6"/>
      <c r="N201" s="21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</row>
    <row r="202" spans="1:37" ht="16.5" customHeight="1">
      <c r="A202" s="2"/>
      <c r="B202" s="11"/>
      <c r="C202" s="2"/>
      <c r="D202" s="3"/>
      <c r="E202" s="3"/>
      <c r="F202" s="2"/>
      <c r="G202" s="12"/>
      <c r="H202" s="12"/>
      <c r="I202" s="13"/>
      <c r="J202" s="13"/>
      <c r="K202" s="15"/>
      <c r="L202" s="3"/>
      <c r="M202" s="6"/>
      <c r="N202" s="21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</row>
    <row r="203" spans="1:37" ht="16.5" customHeight="1">
      <c r="A203" s="2"/>
      <c r="B203" s="11"/>
      <c r="C203" s="2"/>
      <c r="D203" s="3"/>
      <c r="E203" s="3"/>
      <c r="F203" s="2"/>
      <c r="G203" s="12"/>
      <c r="H203" s="12"/>
      <c r="I203" s="13"/>
      <c r="J203" s="13"/>
      <c r="K203" s="15"/>
      <c r="L203" s="3"/>
      <c r="M203" s="6"/>
      <c r="N203" s="21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</row>
    <row r="204" spans="1:37" ht="16.5" customHeight="1">
      <c r="A204" s="2"/>
      <c r="B204" s="11"/>
      <c r="C204" s="2"/>
      <c r="D204" s="3"/>
      <c r="E204" s="3"/>
      <c r="F204" s="2"/>
      <c r="G204" s="12"/>
      <c r="H204" s="12"/>
      <c r="I204" s="13"/>
      <c r="J204" s="13"/>
      <c r="K204" s="15"/>
      <c r="L204" s="3"/>
      <c r="M204" s="6"/>
      <c r="N204" s="21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</row>
    <row r="205" spans="1:37" ht="16.5" customHeight="1">
      <c r="A205" s="2"/>
      <c r="B205" s="11"/>
      <c r="C205" s="2"/>
      <c r="D205" s="3"/>
      <c r="E205" s="3"/>
      <c r="F205" s="2"/>
      <c r="G205" s="12"/>
      <c r="H205" s="12"/>
      <c r="I205" s="13"/>
      <c r="J205" s="13"/>
      <c r="K205" s="15"/>
      <c r="L205" s="3"/>
      <c r="M205" s="6"/>
      <c r="N205" s="21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</row>
    <row r="206" spans="1:37" ht="16.5" customHeight="1">
      <c r="A206" s="2"/>
      <c r="B206" s="11"/>
      <c r="C206" s="2"/>
      <c r="D206" s="3"/>
      <c r="E206" s="3"/>
      <c r="F206" s="2"/>
      <c r="G206" s="12"/>
      <c r="H206" s="12"/>
      <c r="I206" s="13"/>
      <c r="J206" s="13"/>
      <c r="K206" s="15"/>
      <c r="L206" s="3"/>
      <c r="M206" s="6"/>
      <c r="N206" s="21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</row>
    <row r="207" spans="1:37" ht="16.5" customHeight="1">
      <c r="A207" s="2"/>
      <c r="B207" s="11"/>
      <c r="C207" s="2"/>
      <c r="D207" s="3"/>
      <c r="E207" s="3"/>
      <c r="F207" s="2"/>
      <c r="G207" s="12"/>
      <c r="H207" s="12"/>
      <c r="I207" s="13"/>
      <c r="J207" s="13"/>
      <c r="K207" s="15"/>
      <c r="L207" s="3"/>
      <c r="M207" s="6"/>
      <c r="N207" s="21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</row>
    <row r="208" spans="1:37" ht="16.5" customHeight="1">
      <c r="A208" s="2"/>
      <c r="B208" s="11"/>
      <c r="C208" s="2"/>
      <c r="D208" s="3"/>
      <c r="E208" s="3"/>
      <c r="F208" s="2"/>
      <c r="G208" s="12"/>
      <c r="H208" s="12"/>
      <c r="I208" s="13"/>
      <c r="J208" s="13"/>
      <c r="K208" s="15"/>
      <c r="L208" s="3"/>
      <c r="M208" s="6"/>
      <c r="N208" s="21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</row>
    <row r="209" spans="1:37" ht="16.5" customHeight="1">
      <c r="A209" s="2"/>
      <c r="B209" s="11"/>
      <c r="C209" s="2"/>
      <c r="D209" s="3"/>
      <c r="E209" s="3"/>
      <c r="F209" s="2"/>
      <c r="G209" s="12"/>
      <c r="H209" s="12"/>
      <c r="I209" s="13"/>
      <c r="J209" s="13"/>
      <c r="K209" s="15"/>
      <c r="L209" s="3"/>
      <c r="M209" s="6"/>
      <c r="N209" s="21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</row>
    <row r="210" spans="1:37" ht="16.5" customHeight="1">
      <c r="A210" s="2"/>
      <c r="B210" s="11"/>
      <c r="C210" s="2"/>
      <c r="D210" s="3"/>
      <c r="E210" s="3"/>
      <c r="F210" s="2"/>
      <c r="G210" s="12"/>
      <c r="H210" s="12"/>
      <c r="I210" s="13"/>
      <c r="J210" s="13"/>
      <c r="K210" s="15"/>
      <c r="L210" s="3"/>
      <c r="M210" s="6"/>
      <c r="N210" s="21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</row>
    <row r="211" spans="1:37" ht="16.5" customHeight="1">
      <c r="A211" s="2"/>
      <c r="B211" s="11"/>
      <c r="C211" s="2"/>
      <c r="D211" s="3"/>
      <c r="E211" s="3"/>
      <c r="F211" s="2"/>
      <c r="G211" s="12"/>
      <c r="H211" s="12"/>
      <c r="I211" s="13"/>
      <c r="J211" s="13"/>
      <c r="K211" s="15"/>
      <c r="L211" s="3"/>
      <c r="M211" s="6"/>
      <c r="N211" s="21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</row>
    <row r="212" spans="1:37" ht="16.5" customHeight="1">
      <c r="A212" s="2"/>
      <c r="B212" s="11"/>
      <c r="C212" s="2"/>
      <c r="D212" s="3"/>
      <c r="E212" s="3"/>
      <c r="F212" s="2"/>
      <c r="G212" s="12"/>
      <c r="H212" s="12"/>
      <c r="I212" s="13"/>
      <c r="J212" s="13"/>
      <c r="K212" s="15"/>
      <c r="L212" s="3"/>
      <c r="M212" s="6"/>
      <c r="N212" s="21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</row>
    <row r="213" spans="1:37" ht="16.5" customHeight="1">
      <c r="A213" s="2"/>
      <c r="B213" s="11"/>
      <c r="C213" s="2"/>
      <c r="D213" s="3"/>
      <c r="E213" s="3"/>
      <c r="F213" s="2"/>
      <c r="G213" s="12"/>
      <c r="H213" s="12"/>
      <c r="I213" s="13"/>
      <c r="J213" s="13"/>
      <c r="K213" s="15"/>
      <c r="L213" s="3"/>
      <c r="M213" s="6"/>
      <c r="N213" s="21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</row>
    <row r="214" spans="1:37" ht="16.5" customHeight="1">
      <c r="A214" s="2"/>
      <c r="B214" s="11"/>
      <c r="C214" s="2"/>
      <c r="D214" s="3"/>
      <c r="E214" s="3"/>
      <c r="F214" s="2"/>
      <c r="G214" s="12"/>
      <c r="H214" s="12"/>
      <c r="I214" s="13"/>
      <c r="J214" s="13"/>
      <c r="K214" s="15"/>
      <c r="L214" s="3"/>
      <c r="M214" s="6"/>
      <c r="N214" s="21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</row>
    <row r="215" spans="1:37" ht="16.5" customHeight="1">
      <c r="A215" s="2"/>
      <c r="B215" s="11"/>
      <c r="C215" s="2"/>
      <c r="D215" s="3"/>
      <c r="E215" s="3"/>
      <c r="F215" s="2"/>
      <c r="G215" s="12"/>
      <c r="H215" s="12"/>
      <c r="I215" s="13"/>
      <c r="J215" s="13"/>
      <c r="K215" s="15"/>
      <c r="L215" s="3"/>
      <c r="M215" s="6"/>
      <c r="N215" s="21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</row>
    <row r="216" spans="1:37" ht="16.5" customHeight="1">
      <c r="A216" s="2"/>
      <c r="B216" s="11"/>
      <c r="C216" s="2"/>
      <c r="D216" s="3"/>
      <c r="E216" s="3"/>
      <c r="F216" s="2"/>
      <c r="G216" s="12"/>
      <c r="H216" s="12"/>
      <c r="I216" s="13"/>
      <c r="J216" s="13"/>
      <c r="K216" s="15"/>
      <c r="L216" s="3"/>
      <c r="M216" s="6"/>
      <c r="N216" s="21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</row>
    <row r="217" spans="1:37" ht="16.5" customHeight="1">
      <c r="A217" s="2"/>
      <c r="B217" s="11"/>
      <c r="C217" s="2"/>
      <c r="D217" s="3"/>
      <c r="E217" s="3"/>
      <c r="F217" s="2"/>
      <c r="G217" s="12"/>
      <c r="H217" s="12"/>
      <c r="I217" s="13"/>
      <c r="J217" s="13"/>
      <c r="K217" s="15"/>
      <c r="L217" s="3"/>
      <c r="M217" s="6"/>
      <c r="N217" s="21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</row>
    <row r="218" spans="1:37" ht="16.5" customHeight="1">
      <c r="A218" s="2"/>
      <c r="B218" s="11"/>
      <c r="C218" s="2"/>
      <c r="D218" s="3"/>
      <c r="E218" s="3"/>
      <c r="F218" s="2"/>
      <c r="G218" s="12"/>
      <c r="H218" s="12"/>
      <c r="I218" s="13"/>
      <c r="J218" s="13"/>
      <c r="K218" s="15"/>
      <c r="L218" s="3"/>
      <c r="M218" s="6"/>
      <c r="N218" s="21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</row>
    <row r="219" spans="1:37" ht="16.5" customHeight="1">
      <c r="A219" s="2"/>
      <c r="B219" s="11"/>
      <c r="C219" s="2"/>
      <c r="D219" s="3"/>
      <c r="E219" s="3"/>
      <c r="F219" s="2"/>
      <c r="G219" s="12"/>
      <c r="H219" s="12"/>
      <c r="I219" s="13"/>
      <c r="J219" s="13"/>
      <c r="K219" s="15"/>
      <c r="L219" s="3"/>
      <c r="M219" s="6"/>
      <c r="N219" s="21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</row>
    <row r="220" spans="1:37" ht="16.5" customHeight="1">
      <c r="A220" s="2"/>
      <c r="B220" s="11"/>
      <c r="C220" s="2"/>
      <c r="D220" s="3"/>
      <c r="E220" s="3"/>
      <c r="F220" s="2"/>
      <c r="G220" s="12"/>
      <c r="H220" s="12"/>
      <c r="I220" s="13"/>
      <c r="J220" s="13"/>
      <c r="K220" s="15"/>
      <c r="L220" s="3"/>
      <c r="M220" s="6"/>
      <c r="N220" s="21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</row>
    <row r="221" spans="1:37" ht="16.5" customHeight="1">
      <c r="A221" s="2"/>
      <c r="B221" s="11"/>
      <c r="C221" s="2"/>
      <c r="D221" s="3"/>
      <c r="E221" s="3"/>
      <c r="F221" s="2"/>
      <c r="G221" s="12"/>
      <c r="H221" s="12"/>
      <c r="I221" s="13"/>
      <c r="J221" s="13"/>
      <c r="K221" s="15"/>
      <c r="L221" s="3"/>
      <c r="M221" s="6"/>
      <c r="N221" s="21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</row>
    <row r="222" spans="1:37" ht="16.5" customHeight="1">
      <c r="A222" s="2"/>
      <c r="B222" s="11"/>
      <c r="C222" s="2"/>
      <c r="D222" s="3"/>
      <c r="E222" s="3"/>
      <c r="F222" s="2"/>
      <c r="G222" s="12"/>
      <c r="H222" s="12"/>
      <c r="I222" s="13"/>
      <c r="J222" s="13"/>
      <c r="K222" s="15"/>
      <c r="L222" s="3"/>
      <c r="M222" s="6"/>
      <c r="N222" s="21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</row>
    <row r="223" spans="1:37" ht="16.5" customHeight="1">
      <c r="A223" s="2"/>
      <c r="B223" s="11"/>
      <c r="C223" s="2"/>
      <c r="D223" s="3"/>
      <c r="E223" s="3"/>
      <c r="F223" s="2"/>
      <c r="G223" s="12"/>
      <c r="H223" s="12"/>
      <c r="I223" s="13"/>
      <c r="J223" s="13"/>
      <c r="K223" s="15"/>
      <c r="L223" s="3"/>
      <c r="M223" s="6"/>
      <c r="N223" s="21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</row>
    <row r="224" spans="1:37" ht="16.5" customHeight="1">
      <c r="A224" s="2"/>
      <c r="B224" s="11"/>
      <c r="C224" s="2"/>
      <c r="D224" s="3"/>
      <c r="E224" s="3"/>
      <c r="F224" s="2"/>
      <c r="G224" s="12"/>
      <c r="H224" s="12"/>
      <c r="I224" s="13"/>
      <c r="J224" s="13"/>
      <c r="K224" s="15"/>
      <c r="L224" s="3"/>
      <c r="M224" s="6"/>
      <c r="N224" s="21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</row>
    <row r="225" spans="1:37" ht="16.5" customHeight="1">
      <c r="A225" s="2"/>
      <c r="B225" s="11"/>
      <c r="C225" s="2"/>
      <c r="D225" s="3"/>
      <c r="E225" s="3"/>
      <c r="F225" s="2"/>
      <c r="G225" s="12"/>
      <c r="H225" s="12"/>
      <c r="I225" s="13"/>
      <c r="J225" s="13"/>
      <c r="K225" s="15"/>
      <c r="L225" s="3"/>
      <c r="M225" s="6"/>
      <c r="N225" s="21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</row>
    <row r="226" spans="1:37" ht="16.5" customHeight="1">
      <c r="A226" s="2"/>
      <c r="B226" s="11"/>
      <c r="C226" s="2"/>
      <c r="D226" s="3"/>
      <c r="E226" s="3"/>
      <c r="F226" s="2"/>
      <c r="G226" s="12"/>
      <c r="H226" s="12"/>
      <c r="I226" s="13"/>
      <c r="J226" s="13"/>
      <c r="K226" s="15"/>
      <c r="L226" s="3"/>
      <c r="M226" s="6"/>
      <c r="N226" s="21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</row>
    <row r="227" spans="1:37" ht="16.5" customHeight="1">
      <c r="A227" s="2"/>
      <c r="B227" s="11"/>
      <c r="C227" s="2"/>
      <c r="D227" s="3"/>
      <c r="E227" s="3"/>
      <c r="F227" s="2"/>
      <c r="G227" s="12"/>
      <c r="H227" s="12"/>
      <c r="I227" s="13"/>
      <c r="J227" s="13"/>
      <c r="K227" s="15"/>
      <c r="L227" s="3"/>
      <c r="M227" s="6"/>
      <c r="N227" s="21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</row>
    <row r="228" spans="1:37" ht="16.5" customHeight="1">
      <c r="A228" s="2"/>
      <c r="B228" s="11"/>
      <c r="C228" s="2"/>
      <c r="D228" s="3"/>
      <c r="E228" s="3"/>
      <c r="F228" s="2"/>
      <c r="G228" s="12"/>
      <c r="H228" s="12"/>
      <c r="I228" s="13"/>
      <c r="J228" s="13"/>
      <c r="K228" s="15"/>
      <c r="L228" s="3"/>
      <c r="M228" s="6"/>
      <c r="N228" s="21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</row>
    <row r="229" spans="1:37" ht="16.5" customHeight="1">
      <c r="A229" s="2"/>
      <c r="B229" s="11"/>
      <c r="C229" s="2"/>
      <c r="D229" s="3"/>
      <c r="E229" s="3"/>
      <c r="F229" s="2"/>
      <c r="G229" s="12"/>
      <c r="H229" s="12"/>
      <c r="I229" s="13"/>
      <c r="J229" s="13"/>
      <c r="K229" s="15"/>
      <c r="L229" s="3"/>
      <c r="M229" s="6"/>
      <c r="N229" s="21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</row>
    <row r="230" spans="1:37" ht="16.5" customHeight="1">
      <c r="A230" s="2"/>
      <c r="B230" s="11"/>
      <c r="C230" s="2"/>
      <c r="D230" s="3"/>
      <c r="E230" s="3"/>
      <c r="F230" s="2"/>
      <c r="G230" s="12"/>
      <c r="H230" s="12"/>
      <c r="I230" s="13"/>
      <c r="J230" s="13"/>
      <c r="K230" s="15"/>
      <c r="L230" s="3"/>
      <c r="M230" s="6"/>
      <c r="N230" s="21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</row>
    <row r="231" spans="1:37" ht="16.5" customHeight="1">
      <c r="A231" s="2"/>
      <c r="B231" s="11"/>
      <c r="C231" s="2"/>
      <c r="D231" s="3"/>
      <c r="E231" s="3"/>
      <c r="F231" s="2"/>
      <c r="G231" s="12"/>
      <c r="H231" s="12"/>
      <c r="I231" s="13"/>
      <c r="J231" s="13"/>
      <c r="K231" s="15"/>
      <c r="L231" s="3"/>
      <c r="M231" s="6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</row>
    <row r="232" spans="1:37" ht="16.5" customHeight="1">
      <c r="A232" s="2"/>
      <c r="B232" s="11"/>
      <c r="C232" s="2"/>
      <c r="D232" s="3"/>
      <c r="E232" s="3"/>
      <c r="F232" s="2"/>
      <c r="G232" s="12"/>
      <c r="H232" s="12"/>
      <c r="I232" s="13"/>
      <c r="J232" s="13"/>
      <c r="K232" s="15"/>
      <c r="L232" s="3"/>
      <c r="M232" s="6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</row>
    <row r="233" spans="1:37" ht="16.5" customHeight="1">
      <c r="A233" s="2"/>
      <c r="B233" s="11"/>
      <c r="C233" s="2"/>
      <c r="D233" s="3"/>
      <c r="E233" s="3"/>
      <c r="F233" s="2"/>
      <c r="G233" s="12"/>
      <c r="H233" s="12"/>
      <c r="I233" s="13"/>
      <c r="J233" s="13"/>
      <c r="K233" s="15"/>
      <c r="L233" s="3"/>
      <c r="M233" s="6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</row>
    <row r="234" spans="1:37" ht="16.5" customHeight="1">
      <c r="A234" s="2"/>
      <c r="B234" s="11"/>
      <c r="C234" s="2"/>
      <c r="D234" s="3"/>
      <c r="E234" s="3"/>
      <c r="F234" s="2"/>
      <c r="G234" s="12"/>
      <c r="H234" s="12"/>
      <c r="I234" s="13"/>
      <c r="J234" s="13"/>
      <c r="K234" s="15"/>
      <c r="L234" s="3"/>
      <c r="M234" s="6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</row>
    <row r="235" spans="1:37" ht="16.5" customHeight="1">
      <c r="A235" s="2"/>
      <c r="B235" s="11"/>
      <c r="C235" s="2"/>
      <c r="D235" s="3"/>
      <c r="E235" s="3"/>
      <c r="F235" s="2"/>
      <c r="G235" s="12"/>
      <c r="H235" s="12"/>
      <c r="I235" s="13"/>
      <c r="J235" s="13"/>
      <c r="K235" s="15"/>
      <c r="L235" s="3"/>
      <c r="M235" s="6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</row>
    <row r="236" spans="1:37" ht="16.5" customHeight="1">
      <c r="A236" s="2"/>
      <c r="B236" s="11"/>
      <c r="C236" s="2"/>
      <c r="D236" s="3"/>
      <c r="E236" s="3"/>
      <c r="F236" s="2"/>
      <c r="G236" s="12"/>
      <c r="H236" s="12"/>
      <c r="I236" s="13"/>
      <c r="J236" s="13"/>
      <c r="K236" s="15"/>
      <c r="L236" s="3"/>
      <c r="M236" s="6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</row>
    <row r="237" spans="1:37" ht="16.5" customHeight="1">
      <c r="A237" s="2"/>
      <c r="B237" s="11"/>
      <c r="C237" s="2"/>
      <c r="D237" s="3"/>
      <c r="E237" s="3"/>
      <c r="F237" s="2"/>
      <c r="G237" s="12"/>
      <c r="H237" s="12"/>
      <c r="I237" s="13"/>
      <c r="J237" s="13"/>
      <c r="K237" s="15"/>
      <c r="L237" s="3"/>
      <c r="M237" s="6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</row>
    <row r="238" spans="1:37" ht="16.5" customHeight="1">
      <c r="A238" s="2"/>
      <c r="B238" s="11"/>
      <c r="C238" s="2"/>
      <c r="D238" s="3"/>
      <c r="E238" s="3"/>
      <c r="F238" s="2"/>
      <c r="G238" s="12"/>
      <c r="H238" s="12"/>
      <c r="I238" s="13"/>
      <c r="J238" s="13"/>
      <c r="K238" s="15"/>
      <c r="L238" s="3"/>
      <c r="M238" s="6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</row>
    <row r="239" spans="1:37" ht="16.5" customHeight="1">
      <c r="A239" s="2"/>
      <c r="B239" s="11"/>
      <c r="C239" s="2"/>
      <c r="D239" s="3"/>
      <c r="E239" s="3"/>
      <c r="F239" s="2"/>
      <c r="G239" s="12"/>
      <c r="H239" s="12"/>
      <c r="I239" s="13"/>
      <c r="J239" s="13"/>
      <c r="K239" s="15"/>
      <c r="L239" s="3"/>
      <c r="M239" s="6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</row>
    <row r="240" spans="1:37" ht="16.5" customHeight="1">
      <c r="A240" s="2"/>
      <c r="B240" s="11"/>
      <c r="C240" s="2"/>
      <c r="D240" s="3"/>
      <c r="E240" s="3"/>
      <c r="F240" s="2"/>
      <c r="G240" s="12"/>
      <c r="H240" s="12"/>
      <c r="I240" s="13"/>
      <c r="J240" s="13"/>
      <c r="K240" s="15"/>
      <c r="L240" s="3"/>
      <c r="M240" s="6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</row>
    <row r="241" spans="1:37" ht="16.5" customHeight="1">
      <c r="A241" s="2"/>
      <c r="B241" s="11"/>
      <c r="C241" s="2"/>
      <c r="D241" s="3"/>
      <c r="E241" s="3"/>
      <c r="F241" s="2"/>
      <c r="G241" s="12"/>
      <c r="H241" s="12"/>
      <c r="I241" s="13"/>
      <c r="J241" s="13"/>
      <c r="K241" s="15"/>
      <c r="L241" s="3"/>
      <c r="M241" s="6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</row>
    <row r="242" spans="1:37" ht="16.5" customHeight="1">
      <c r="A242" s="2"/>
      <c r="B242" s="11"/>
      <c r="C242" s="2"/>
      <c r="D242" s="3"/>
      <c r="E242" s="3"/>
      <c r="F242" s="2"/>
      <c r="G242" s="12"/>
      <c r="H242" s="12"/>
      <c r="I242" s="13"/>
      <c r="J242" s="13"/>
      <c r="K242" s="15"/>
      <c r="L242" s="3"/>
      <c r="M242" s="6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</row>
    <row r="243" spans="1:37" ht="16.5" customHeight="1">
      <c r="A243" s="2"/>
      <c r="B243" s="11"/>
      <c r="C243" s="2"/>
      <c r="D243" s="3"/>
      <c r="E243" s="3"/>
      <c r="F243" s="2"/>
      <c r="G243" s="12"/>
      <c r="H243" s="12"/>
      <c r="I243" s="13"/>
      <c r="J243" s="13"/>
      <c r="K243" s="15"/>
      <c r="L243" s="3"/>
      <c r="M243" s="6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</row>
    <row r="244" spans="1:37" ht="16.5" customHeight="1">
      <c r="A244" s="2"/>
      <c r="B244" s="11"/>
      <c r="C244" s="2"/>
      <c r="D244" s="3"/>
      <c r="E244" s="3"/>
      <c r="F244" s="2"/>
      <c r="G244" s="12"/>
      <c r="H244" s="12"/>
      <c r="I244" s="13"/>
      <c r="J244" s="13"/>
      <c r="K244" s="15"/>
      <c r="L244" s="3"/>
      <c r="M244" s="6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</row>
    <row r="245" spans="1:37" ht="16.5" customHeight="1">
      <c r="A245" s="2"/>
      <c r="B245" s="11"/>
      <c r="C245" s="2"/>
      <c r="D245" s="3"/>
      <c r="E245" s="3"/>
      <c r="F245" s="2"/>
      <c r="G245" s="12"/>
      <c r="H245" s="12"/>
      <c r="I245" s="13"/>
      <c r="J245" s="13"/>
      <c r="K245" s="15"/>
      <c r="L245" s="3"/>
      <c r="M245" s="6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</row>
    <row r="246" spans="1:37" ht="16.5" customHeight="1">
      <c r="A246" s="2"/>
      <c r="B246" s="11"/>
      <c r="C246" s="2"/>
      <c r="D246" s="3"/>
      <c r="E246" s="3"/>
      <c r="F246" s="2"/>
      <c r="G246" s="12"/>
      <c r="H246" s="12"/>
      <c r="I246" s="13"/>
      <c r="J246" s="13"/>
      <c r="K246" s="15"/>
      <c r="L246" s="3"/>
      <c r="M246" s="6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</row>
    <row r="247" spans="1:37" ht="16.5" customHeight="1">
      <c r="A247" s="2"/>
      <c r="B247" s="11"/>
      <c r="C247" s="2"/>
      <c r="D247" s="3"/>
      <c r="E247" s="3"/>
      <c r="F247" s="2"/>
      <c r="G247" s="12"/>
      <c r="H247" s="12"/>
      <c r="I247" s="13"/>
      <c r="J247" s="13"/>
      <c r="K247" s="15"/>
      <c r="L247" s="3"/>
      <c r="M247" s="6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</row>
    <row r="248" spans="1:37" ht="16.5" customHeight="1">
      <c r="A248" s="2"/>
      <c r="B248" s="11"/>
      <c r="C248" s="2"/>
      <c r="D248" s="3"/>
      <c r="E248" s="3"/>
      <c r="F248" s="2"/>
      <c r="G248" s="12"/>
      <c r="H248" s="12"/>
      <c r="I248" s="13"/>
      <c r="J248" s="13"/>
      <c r="K248" s="15"/>
      <c r="L248" s="3"/>
      <c r="M248" s="6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</row>
    <row r="249" spans="1:37" ht="16.5" customHeight="1">
      <c r="A249" s="2"/>
      <c r="B249" s="11"/>
      <c r="C249" s="2"/>
      <c r="D249" s="3"/>
      <c r="E249" s="3"/>
      <c r="F249" s="2"/>
      <c r="G249" s="12"/>
      <c r="H249" s="12"/>
      <c r="I249" s="13"/>
      <c r="J249" s="13"/>
      <c r="K249" s="15"/>
      <c r="L249" s="3"/>
      <c r="M249" s="6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</row>
    <row r="250" spans="1:37" ht="16.5" customHeight="1">
      <c r="A250" s="2"/>
      <c r="B250" s="11"/>
      <c r="C250" s="2"/>
      <c r="D250" s="3"/>
      <c r="E250" s="3"/>
      <c r="F250" s="2"/>
      <c r="G250" s="12"/>
      <c r="H250" s="12"/>
      <c r="I250" s="13"/>
      <c r="J250" s="13"/>
      <c r="K250" s="15"/>
      <c r="L250" s="3"/>
      <c r="M250" s="6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</row>
    <row r="251" spans="1:37" ht="16.5" customHeight="1">
      <c r="A251" s="2"/>
      <c r="B251" s="11"/>
      <c r="C251" s="2"/>
      <c r="D251" s="3"/>
      <c r="E251" s="3"/>
      <c r="F251" s="2"/>
      <c r="G251" s="12"/>
      <c r="H251" s="12"/>
      <c r="I251" s="13"/>
      <c r="J251" s="13"/>
      <c r="K251" s="15"/>
      <c r="L251" s="3"/>
      <c r="M251" s="6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</row>
    <row r="252" spans="1:37" ht="16.5" customHeight="1">
      <c r="A252" s="2"/>
      <c r="B252" s="11"/>
      <c r="C252" s="2"/>
      <c r="D252" s="3"/>
      <c r="E252" s="3"/>
      <c r="F252" s="2"/>
      <c r="G252" s="12"/>
      <c r="H252" s="12"/>
      <c r="I252" s="13"/>
      <c r="J252" s="13"/>
      <c r="K252" s="15"/>
      <c r="L252" s="3"/>
      <c r="M252" s="6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</row>
    <row r="253" spans="1:37" ht="16.5" customHeight="1">
      <c r="A253" s="2"/>
      <c r="B253" s="11"/>
      <c r="C253" s="2"/>
      <c r="D253" s="3"/>
      <c r="E253" s="3"/>
      <c r="F253" s="2"/>
      <c r="G253" s="12"/>
      <c r="H253" s="12"/>
      <c r="I253" s="13"/>
      <c r="J253" s="13"/>
      <c r="K253" s="15"/>
      <c r="L253" s="3"/>
      <c r="M253" s="6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</row>
    <row r="254" spans="1:37" ht="16.5" customHeight="1">
      <c r="A254" s="2"/>
      <c r="B254" s="11"/>
      <c r="C254" s="2"/>
      <c r="D254" s="3"/>
      <c r="E254" s="3"/>
      <c r="F254" s="2"/>
      <c r="G254" s="12"/>
      <c r="H254" s="12"/>
      <c r="I254" s="13"/>
      <c r="J254" s="13"/>
      <c r="K254" s="15"/>
      <c r="L254" s="3"/>
      <c r="M254" s="6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</row>
    <row r="255" spans="1:37" ht="16.5" customHeight="1">
      <c r="A255" s="2"/>
      <c r="B255" s="11"/>
      <c r="C255" s="2"/>
      <c r="D255" s="3"/>
      <c r="E255" s="3"/>
      <c r="F255" s="2"/>
      <c r="G255" s="12"/>
      <c r="H255" s="12"/>
      <c r="I255" s="13"/>
      <c r="J255" s="13"/>
      <c r="K255" s="15"/>
      <c r="L255" s="3"/>
      <c r="M255" s="6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</row>
    <row r="256" spans="1:37" ht="16.5" customHeight="1">
      <c r="A256" s="2"/>
      <c r="B256" s="11"/>
      <c r="C256" s="2"/>
      <c r="D256" s="3"/>
      <c r="E256" s="3"/>
      <c r="F256" s="2"/>
      <c r="G256" s="12"/>
      <c r="H256" s="12"/>
      <c r="I256" s="13"/>
      <c r="J256" s="13"/>
      <c r="K256" s="15"/>
      <c r="L256" s="3"/>
      <c r="M256" s="6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</row>
    <row r="257" spans="1:37" ht="16.5" customHeight="1">
      <c r="A257" s="2"/>
      <c r="B257" s="11"/>
      <c r="C257" s="2"/>
      <c r="D257" s="3"/>
      <c r="E257" s="3"/>
      <c r="F257" s="2"/>
      <c r="G257" s="12"/>
      <c r="H257" s="12"/>
      <c r="I257" s="13"/>
      <c r="J257" s="13"/>
      <c r="K257" s="15"/>
      <c r="L257" s="3"/>
      <c r="M257" s="6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</row>
    <row r="258" spans="1:37" ht="16.5" customHeight="1">
      <c r="A258" s="2"/>
      <c r="B258" s="11"/>
      <c r="C258" s="2"/>
      <c r="D258" s="3"/>
      <c r="E258" s="3"/>
      <c r="F258" s="2"/>
      <c r="G258" s="12"/>
      <c r="H258" s="12"/>
      <c r="I258" s="13"/>
      <c r="J258" s="13"/>
      <c r="K258" s="15"/>
      <c r="L258" s="3"/>
      <c r="M258" s="6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</row>
    <row r="259" spans="1:37" ht="16.5" customHeight="1">
      <c r="A259" s="2"/>
      <c r="B259" s="11"/>
      <c r="C259" s="2"/>
      <c r="D259" s="3"/>
      <c r="E259" s="3"/>
      <c r="F259" s="2"/>
      <c r="G259" s="12"/>
      <c r="H259" s="12"/>
      <c r="I259" s="13"/>
      <c r="J259" s="13"/>
      <c r="K259" s="15"/>
      <c r="L259" s="3"/>
      <c r="M259" s="6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</row>
    <row r="260" spans="1:37" ht="16.5" customHeight="1">
      <c r="A260" s="2"/>
      <c r="B260" s="11"/>
      <c r="C260" s="2"/>
      <c r="D260" s="3"/>
      <c r="E260" s="3"/>
      <c r="F260" s="2"/>
      <c r="G260" s="12"/>
      <c r="H260" s="12"/>
      <c r="I260" s="13"/>
      <c r="J260" s="13"/>
      <c r="K260" s="15"/>
      <c r="L260" s="3"/>
      <c r="M260" s="6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</row>
    <row r="261" spans="1:37" ht="16.5" customHeight="1">
      <c r="A261" s="2"/>
      <c r="B261" s="11"/>
      <c r="C261" s="2"/>
      <c r="D261" s="3"/>
      <c r="E261" s="3"/>
      <c r="F261" s="2"/>
      <c r="G261" s="12"/>
      <c r="H261" s="12"/>
      <c r="I261" s="13"/>
      <c r="J261" s="13"/>
      <c r="K261" s="15"/>
      <c r="L261" s="3"/>
      <c r="M261" s="6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</row>
    <row r="262" spans="1:37" ht="16.5" customHeight="1">
      <c r="A262" s="2"/>
      <c r="B262" s="11"/>
      <c r="C262" s="2"/>
      <c r="D262" s="3"/>
      <c r="E262" s="3"/>
      <c r="F262" s="2"/>
      <c r="G262" s="12"/>
      <c r="H262" s="12"/>
      <c r="I262" s="13"/>
      <c r="J262" s="13"/>
      <c r="K262" s="15"/>
      <c r="L262" s="3"/>
      <c r="M262" s="6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</row>
    <row r="263" spans="1:37" ht="16.5" customHeight="1">
      <c r="A263" s="2"/>
      <c r="B263" s="11"/>
      <c r="C263" s="2"/>
      <c r="D263" s="3"/>
      <c r="E263" s="3"/>
      <c r="F263" s="2"/>
      <c r="G263" s="12"/>
      <c r="H263" s="12"/>
      <c r="I263" s="13"/>
      <c r="J263" s="13"/>
      <c r="K263" s="15"/>
      <c r="L263" s="3"/>
      <c r="M263" s="6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</row>
    <row r="264" spans="1:37" ht="16.5" customHeight="1">
      <c r="A264" s="2"/>
      <c r="B264" s="11"/>
      <c r="C264" s="2"/>
      <c r="D264" s="3"/>
      <c r="E264" s="3"/>
      <c r="F264" s="2"/>
      <c r="G264" s="12"/>
      <c r="H264" s="12"/>
      <c r="I264" s="13"/>
      <c r="J264" s="13"/>
      <c r="K264" s="15"/>
      <c r="L264" s="3"/>
      <c r="M264" s="6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</row>
    <row r="265" spans="1:37" ht="16.5" customHeight="1">
      <c r="A265" s="2"/>
      <c r="B265" s="11"/>
      <c r="C265" s="2"/>
      <c r="D265" s="3"/>
      <c r="E265" s="3"/>
      <c r="F265" s="2"/>
      <c r="G265" s="12"/>
      <c r="H265" s="12"/>
      <c r="I265" s="13"/>
      <c r="J265" s="13"/>
      <c r="K265" s="15"/>
      <c r="L265" s="3"/>
      <c r="M265" s="6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</row>
    <row r="266" spans="1:37" ht="16.5" customHeight="1">
      <c r="A266" s="2"/>
      <c r="B266" s="11"/>
      <c r="C266" s="2"/>
      <c r="D266" s="3"/>
      <c r="E266" s="3"/>
      <c r="F266" s="2"/>
      <c r="G266" s="12"/>
      <c r="H266" s="12"/>
      <c r="I266" s="13"/>
      <c r="J266" s="13"/>
      <c r="K266" s="15"/>
      <c r="L266" s="3"/>
      <c r="M266" s="6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</row>
    <row r="267" spans="1:37" ht="16.5" customHeight="1">
      <c r="A267" s="2"/>
      <c r="B267" s="11"/>
      <c r="C267" s="2"/>
      <c r="D267" s="3"/>
      <c r="E267" s="3"/>
      <c r="F267" s="2"/>
      <c r="G267" s="12"/>
      <c r="H267" s="12"/>
      <c r="I267" s="13"/>
      <c r="J267" s="13"/>
      <c r="K267" s="15"/>
      <c r="L267" s="3"/>
      <c r="M267" s="6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</row>
    <row r="268" spans="1:37" ht="16.5" customHeight="1">
      <c r="A268" s="2"/>
      <c r="B268" s="11"/>
      <c r="C268" s="2"/>
      <c r="D268" s="3"/>
      <c r="E268" s="3"/>
      <c r="F268" s="2"/>
      <c r="G268" s="12"/>
      <c r="H268" s="12"/>
      <c r="I268" s="13"/>
      <c r="J268" s="13"/>
      <c r="K268" s="15"/>
      <c r="L268" s="3"/>
      <c r="M268" s="6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</row>
    <row r="269" spans="1:37" ht="16.5" customHeight="1">
      <c r="A269" s="2"/>
      <c r="B269" s="11"/>
      <c r="C269" s="2"/>
      <c r="D269" s="3"/>
      <c r="E269" s="3"/>
      <c r="F269" s="2"/>
      <c r="G269" s="12"/>
      <c r="H269" s="12"/>
      <c r="I269" s="13"/>
      <c r="J269" s="13"/>
      <c r="K269" s="15"/>
      <c r="L269" s="3"/>
      <c r="M269" s="6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</row>
    <row r="270" spans="1:37" ht="16.5" customHeight="1">
      <c r="A270" s="2"/>
      <c r="B270" s="11"/>
      <c r="C270" s="2"/>
      <c r="D270" s="3"/>
      <c r="E270" s="3"/>
      <c r="F270" s="2"/>
      <c r="G270" s="12"/>
      <c r="H270" s="12"/>
      <c r="I270" s="13"/>
      <c r="J270" s="13"/>
      <c r="K270" s="15"/>
      <c r="L270" s="3"/>
      <c r="M270" s="6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</row>
    <row r="271" spans="1:37" ht="16.5" customHeight="1">
      <c r="A271" s="2"/>
      <c r="B271" s="11"/>
      <c r="C271" s="2"/>
      <c r="D271" s="3"/>
      <c r="E271" s="3"/>
      <c r="F271" s="2"/>
      <c r="G271" s="12"/>
      <c r="H271" s="12"/>
      <c r="I271" s="13"/>
      <c r="J271" s="13"/>
      <c r="K271" s="15"/>
      <c r="L271" s="3"/>
      <c r="M271" s="6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</row>
    <row r="272" spans="1:37" ht="16.5" customHeight="1">
      <c r="A272" s="2"/>
      <c r="B272" s="11"/>
      <c r="C272" s="2"/>
      <c r="D272" s="3"/>
      <c r="E272" s="3"/>
      <c r="F272" s="2"/>
      <c r="G272" s="12"/>
      <c r="H272" s="12"/>
      <c r="I272" s="13"/>
      <c r="J272" s="13"/>
      <c r="K272" s="15"/>
      <c r="L272" s="3"/>
      <c r="M272" s="6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</row>
    <row r="273" spans="1:37" ht="16.5" customHeight="1">
      <c r="A273" s="2"/>
      <c r="B273" s="11"/>
      <c r="C273" s="2"/>
      <c r="D273" s="3"/>
      <c r="E273" s="3"/>
      <c r="F273" s="2"/>
      <c r="G273" s="12"/>
      <c r="H273" s="12"/>
      <c r="I273" s="13"/>
      <c r="J273" s="13"/>
      <c r="K273" s="15"/>
      <c r="L273" s="3"/>
      <c r="M273" s="6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</row>
    <row r="274" spans="1:37" ht="16.5" customHeight="1">
      <c r="A274" s="2"/>
      <c r="B274" s="11"/>
      <c r="C274" s="2"/>
      <c r="D274" s="3"/>
      <c r="E274" s="3"/>
      <c r="F274" s="2"/>
      <c r="G274" s="12"/>
      <c r="H274" s="12"/>
      <c r="I274" s="13"/>
      <c r="J274" s="13"/>
      <c r="K274" s="15"/>
      <c r="L274" s="3"/>
      <c r="M274" s="6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</row>
    <row r="275" spans="1:37" ht="16.5" customHeight="1">
      <c r="A275" s="2"/>
      <c r="B275" s="11"/>
      <c r="C275" s="2"/>
      <c r="D275" s="3"/>
      <c r="E275" s="3"/>
      <c r="F275" s="2"/>
      <c r="G275" s="12"/>
      <c r="H275" s="12"/>
      <c r="I275" s="13"/>
      <c r="J275" s="13"/>
      <c r="K275" s="15"/>
      <c r="L275" s="3"/>
      <c r="M275" s="6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</row>
    <row r="276" spans="1:37" ht="16.5" customHeight="1">
      <c r="A276" s="2"/>
      <c r="B276" s="11"/>
      <c r="C276" s="2"/>
      <c r="D276" s="3"/>
      <c r="E276" s="3"/>
      <c r="F276" s="2"/>
      <c r="G276" s="12"/>
      <c r="H276" s="12"/>
      <c r="I276" s="13"/>
      <c r="J276" s="13"/>
      <c r="K276" s="15"/>
      <c r="L276" s="3"/>
      <c r="M276" s="6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</row>
    <row r="277" spans="1:37" ht="16.5" customHeight="1">
      <c r="A277" s="2"/>
      <c r="B277" s="11"/>
      <c r="C277" s="2"/>
      <c r="D277" s="3"/>
      <c r="E277" s="3"/>
      <c r="F277" s="2"/>
      <c r="G277" s="12"/>
      <c r="H277" s="12"/>
      <c r="I277" s="13"/>
      <c r="J277" s="13"/>
      <c r="K277" s="15"/>
      <c r="L277" s="3"/>
      <c r="M277" s="6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</row>
    <row r="278" spans="1:37" ht="16.5" customHeight="1">
      <c r="A278" s="2"/>
      <c r="B278" s="11"/>
      <c r="C278" s="2"/>
      <c r="D278" s="3"/>
      <c r="E278" s="3"/>
      <c r="F278" s="2"/>
      <c r="G278" s="12"/>
      <c r="H278" s="12"/>
      <c r="I278" s="13"/>
      <c r="J278" s="13"/>
      <c r="K278" s="15"/>
      <c r="L278" s="3"/>
      <c r="M278" s="6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</row>
    <row r="279" spans="1:37" ht="16.5" customHeight="1">
      <c r="A279" s="2"/>
      <c r="B279" s="11"/>
      <c r="C279" s="2"/>
      <c r="D279" s="3"/>
      <c r="E279" s="3"/>
      <c r="F279" s="2"/>
      <c r="G279" s="12"/>
      <c r="H279" s="12"/>
      <c r="I279" s="13"/>
      <c r="J279" s="13"/>
      <c r="K279" s="15"/>
      <c r="L279" s="3"/>
      <c r="M279" s="6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</row>
    <row r="280" spans="1:37" ht="16.5" customHeight="1">
      <c r="A280" s="2"/>
      <c r="B280" s="11"/>
      <c r="C280" s="2"/>
      <c r="D280" s="3"/>
      <c r="E280" s="3"/>
      <c r="F280" s="2"/>
      <c r="G280" s="12"/>
      <c r="H280" s="12"/>
      <c r="I280" s="13"/>
      <c r="J280" s="13"/>
      <c r="K280" s="15"/>
      <c r="L280" s="3"/>
      <c r="M280" s="6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</row>
    <row r="281" spans="1:37" ht="16.5" customHeight="1">
      <c r="A281" s="2"/>
      <c r="B281" s="11"/>
      <c r="C281" s="2"/>
      <c r="D281" s="3"/>
      <c r="E281" s="3"/>
      <c r="F281" s="2"/>
      <c r="G281" s="12"/>
      <c r="H281" s="12"/>
      <c r="I281" s="13"/>
      <c r="J281" s="13"/>
      <c r="K281" s="15"/>
      <c r="L281" s="3"/>
      <c r="M281" s="6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</row>
    <row r="282" spans="1:37" ht="16.5" customHeight="1">
      <c r="A282" s="2"/>
      <c r="B282" s="11"/>
      <c r="C282" s="2"/>
      <c r="D282" s="3"/>
      <c r="E282" s="3"/>
      <c r="F282" s="2"/>
      <c r="G282" s="12"/>
      <c r="H282" s="12"/>
      <c r="I282" s="13"/>
      <c r="J282" s="13"/>
      <c r="K282" s="15"/>
      <c r="L282" s="3"/>
      <c r="M282" s="6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</row>
    <row r="283" spans="1:37" ht="16.5" customHeight="1">
      <c r="A283" s="2"/>
      <c r="B283" s="11"/>
      <c r="C283" s="2"/>
      <c r="D283" s="3"/>
      <c r="E283" s="3"/>
      <c r="F283" s="2"/>
      <c r="G283" s="12"/>
      <c r="H283" s="12"/>
      <c r="I283" s="13"/>
      <c r="J283" s="13"/>
      <c r="K283" s="15"/>
      <c r="L283" s="3"/>
      <c r="M283" s="6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</row>
    <row r="284" spans="1:37" ht="16.5" customHeight="1">
      <c r="A284" s="2"/>
      <c r="B284" s="11"/>
      <c r="C284" s="2"/>
      <c r="D284" s="3"/>
      <c r="E284" s="3"/>
      <c r="F284" s="2"/>
      <c r="G284" s="12"/>
      <c r="H284" s="12"/>
      <c r="I284" s="13"/>
      <c r="J284" s="13"/>
      <c r="K284" s="15"/>
      <c r="L284" s="3"/>
      <c r="M284" s="6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</row>
    <row r="285" spans="1:37" ht="16.5" customHeight="1">
      <c r="A285" s="2"/>
      <c r="B285" s="11"/>
      <c r="C285" s="2"/>
      <c r="D285" s="3"/>
      <c r="E285" s="3"/>
      <c r="F285" s="2"/>
      <c r="G285" s="12"/>
      <c r="H285" s="12"/>
      <c r="I285" s="13"/>
      <c r="J285" s="13"/>
      <c r="K285" s="15"/>
      <c r="L285" s="3"/>
      <c r="M285" s="6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</row>
    <row r="286" spans="1:37" ht="16.5" customHeight="1">
      <c r="A286" s="2"/>
      <c r="B286" s="11"/>
      <c r="C286" s="2"/>
      <c r="D286" s="3"/>
      <c r="E286" s="3"/>
      <c r="F286" s="2"/>
      <c r="G286" s="12"/>
      <c r="H286" s="12"/>
      <c r="I286" s="13"/>
      <c r="J286" s="13"/>
      <c r="K286" s="15"/>
      <c r="L286" s="3"/>
      <c r="M286" s="6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</row>
    <row r="287" spans="1:37" ht="16.5" customHeight="1">
      <c r="A287" s="2"/>
      <c r="B287" s="11"/>
      <c r="C287" s="2"/>
      <c r="D287" s="3"/>
      <c r="E287" s="3"/>
      <c r="F287" s="2"/>
      <c r="G287" s="12"/>
      <c r="H287" s="12"/>
      <c r="I287" s="13"/>
      <c r="J287" s="13"/>
      <c r="K287" s="15"/>
      <c r="L287" s="3"/>
      <c r="M287" s="6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</row>
    <row r="288" spans="1:37" ht="16.5" customHeight="1">
      <c r="A288" s="2"/>
      <c r="B288" s="11"/>
      <c r="C288" s="2"/>
      <c r="D288" s="3"/>
      <c r="E288" s="3"/>
      <c r="F288" s="2"/>
      <c r="G288" s="12"/>
      <c r="H288" s="12"/>
      <c r="I288" s="13"/>
      <c r="J288" s="13"/>
      <c r="K288" s="15"/>
      <c r="L288" s="3"/>
      <c r="M288" s="6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</row>
    <row r="289" spans="1:37" ht="16.5" customHeight="1">
      <c r="A289" s="2"/>
      <c r="B289" s="11"/>
      <c r="C289" s="2"/>
      <c r="D289" s="3"/>
      <c r="E289" s="3"/>
      <c r="F289" s="2"/>
      <c r="G289" s="12"/>
      <c r="H289" s="12"/>
      <c r="I289" s="13"/>
      <c r="J289" s="13"/>
      <c r="K289" s="15"/>
      <c r="L289" s="3"/>
      <c r="M289" s="6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</row>
    <row r="290" spans="1:37" ht="16.5" customHeight="1">
      <c r="A290" s="2"/>
      <c r="B290" s="11"/>
      <c r="C290" s="2"/>
      <c r="D290" s="3"/>
      <c r="E290" s="3"/>
      <c r="F290" s="2"/>
      <c r="G290" s="12"/>
      <c r="H290" s="12"/>
      <c r="I290" s="13"/>
      <c r="J290" s="13"/>
      <c r="K290" s="15"/>
      <c r="L290" s="3"/>
      <c r="M290" s="6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</row>
    <row r="291" spans="1:37" ht="16.5" customHeight="1">
      <c r="A291" s="2"/>
      <c r="B291" s="11"/>
      <c r="C291" s="2"/>
      <c r="D291" s="3"/>
      <c r="E291" s="3"/>
      <c r="F291" s="2"/>
      <c r="G291" s="12"/>
      <c r="H291" s="12"/>
      <c r="I291" s="13"/>
      <c r="J291" s="13"/>
      <c r="K291" s="15"/>
      <c r="L291" s="3"/>
      <c r="M291" s="6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</row>
    <row r="292" spans="1:37" ht="16.5" customHeight="1">
      <c r="A292" s="2"/>
      <c r="B292" s="11"/>
      <c r="C292" s="2"/>
      <c r="D292" s="3"/>
      <c r="E292" s="3"/>
      <c r="F292" s="2"/>
      <c r="G292" s="12"/>
      <c r="H292" s="12"/>
      <c r="I292" s="13"/>
      <c r="J292" s="13"/>
      <c r="K292" s="15"/>
      <c r="L292" s="3"/>
      <c r="M292" s="6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</row>
    <row r="293" spans="1:37" ht="16.5" customHeight="1">
      <c r="A293" s="2"/>
      <c r="B293" s="11"/>
      <c r="C293" s="2"/>
      <c r="D293" s="3"/>
      <c r="E293" s="3"/>
      <c r="F293" s="2"/>
      <c r="G293" s="12"/>
      <c r="H293" s="12"/>
      <c r="I293" s="13"/>
      <c r="J293" s="13"/>
      <c r="K293" s="15"/>
      <c r="L293" s="3"/>
      <c r="M293" s="6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</row>
    <row r="294" spans="1:37" ht="16.5" customHeight="1">
      <c r="A294" s="2"/>
      <c r="B294" s="11"/>
      <c r="C294" s="2"/>
      <c r="D294" s="3"/>
      <c r="E294" s="3"/>
      <c r="F294" s="2"/>
      <c r="G294" s="12"/>
      <c r="H294" s="12"/>
      <c r="I294" s="13"/>
      <c r="J294" s="13"/>
      <c r="K294" s="15"/>
      <c r="L294" s="3"/>
      <c r="M294" s="6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</row>
    <row r="295" spans="1:37" ht="16.5" customHeight="1">
      <c r="A295" s="2"/>
      <c r="B295" s="11"/>
      <c r="C295" s="2"/>
      <c r="D295" s="3"/>
      <c r="E295" s="3"/>
      <c r="F295" s="2"/>
      <c r="G295" s="12"/>
      <c r="H295" s="12"/>
      <c r="I295" s="13"/>
      <c r="J295" s="13"/>
      <c r="K295" s="15"/>
      <c r="L295" s="3"/>
      <c r="M295" s="6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</row>
    <row r="296" spans="1:37" ht="16.5" customHeight="1">
      <c r="A296" s="2"/>
      <c r="B296" s="11"/>
      <c r="C296" s="2"/>
      <c r="D296" s="3"/>
      <c r="E296" s="3"/>
      <c r="F296" s="2"/>
      <c r="G296" s="12"/>
      <c r="H296" s="12"/>
      <c r="I296" s="13"/>
      <c r="J296" s="13"/>
      <c r="K296" s="15"/>
      <c r="L296" s="3"/>
      <c r="M296" s="6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</row>
    <row r="297" spans="1:37" ht="16.5" customHeight="1">
      <c r="A297" s="2"/>
      <c r="B297" s="11"/>
      <c r="C297" s="2"/>
      <c r="D297" s="3"/>
      <c r="E297" s="3"/>
      <c r="F297" s="2"/>
      <c r="G297" s="12"/>
      <c r="H297" s="12"/>
      <c r="I297" s="13"/>
      <c r="J297" s="13"/>
      <c r="K297" s="15"/>
      <c r="L297" s="3"/>
      <c r="M297" s="6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</row>
    <row r="298" spans="1:37" ht="16.5" customHeight="1">
      <c r="A298" s="2"/>
      <c r="B298" s="11"/>
      <c r="C298" s="2"/>
      <c r="D298" s="3"/>
      <c r="E298" s="3"/>
      <c r="F298" s="2"/>
      <c r="G298" s="12"/>
      <c r="H298" s="12"/>
      <c r="I298" s="13"/>
      <c r="J298" s="13"/>
      <c r="K298" s="15"/>
      <c r="L298" s="3"/>
      <c r="M298" s="6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</row>
    <row r="299" spans="1:37" ht="16.5" customHeight="1">
      <c r="A299" s="2"/>
      <c r="B299" s="11"/>
      <c r="C299" s="2"/>
      <c r="D299" s="3"/>
      <c r="E299" s="3"/>
      <c r="F299" s="2"/>
      <c r="G299" s="12"/>
      <c r="H299" s="12"/>
      <c r="I299" s="13"/>
      <c r="J299" s="13"/>
      <c r="K299" s="15"/>
      <c r="L299" s="3"/>
      <c r="M299" s="6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</row>
    <row r="300" spans="1:37" ht="16.5" customHeight="1">
      <c r="A300" s="2"/>
      <c r="B300" s="11"/>
      <c r="C300" s="2"/>
      <c r="D300" s="3"/>
      <c r="E300" s="3"/>
      <c r="F300" s="2"/>
      <c r="G300" s="12"/>
      <c r="H300" s="12"/>
      <c r="I300" s="13"/>
      <c r="J300" s="13"/>
      <c r="K300" s="15"/>
      <c r="L300" s="3"/>
      <c r="M300" s="6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</row>
    <row r="301" spans="1:37" ht="16.5" customHeight="1">
      <c r="A301" s="2"/>
      <c r="B301" s="11"/>
      <c r="C301" s="2"/>
      <c r="D301" s="3"/>
      <c r="E301" s="3"/>
      <c r="F301" s="2"/>
      <c r="G301" s="12"/>
      <c r="H301" s="12"/>
      <c r="I301" s="13"/>
      <c r="J301" s="13"/>
      <c r="K301" s="15"/>
      <c r="L301" s="3"/>
      <c r="M301" s="6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</row>
    <row r="302" spans="1:37" ht="16.5" customHeight="1">
      <c r="A302" s="2"/>
      <c r="B302" s="11"/>
      <c r="C302" s="2"/>
      <c r="D302" s="3"/>
      <c r="E302" s="3"/>
      <c r="F302" s="2"/>
      <c r="G302" s="12"/>
      <c r="H302" s="12"/>
      <c r="I302" s="13"/>
      <c r="J302" s="13"/>
      <c r="K302" s="15"/>
      <c r="L302" s="3"/>
      <c r="M302" s="6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</row>
    <row r="303" spans="1:37" ht="16.5" customHeight="1">
      <c r="A303" s="2"/>
      <c r="B303" s="11"/>
      <c r="C303" s="2"/>
      <c r="D303" s="3"/>
      <c r="E303" s="3"/>
      <c r="F303" s="2"/>
      <c r="G303" s="12"/>
      <c r="H303" s="12"/>
      <c r="I303" s="13"/>
      <c r="J303" s="13"/>
      <c r="K303" s="15"/>
      <c r="L303" s="3"/>
      <c r="M303" s="6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</row>
    <row r="304" spans="1:37" ht="16.5" customHeight="1">
      <c r="A304" s="2"/>
      <c r="B304" s="11"/>
      <c r="C304" s="2"/>
      <c r="D304" s="3"/>
      <c r="E304" s="3"/>
      <c r="F304" s="2"/>
      <c r="G304" s="12"/>
      <c r="H304" s="12"/>
      <c r="I304" s="13"/>
      <c r="J304" s="13"/>
      <c r="K304" s="15"/>
      <c r="L304" s="3"/>
      <c r="M304" s="6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</row>
    <row r="305" spans="1:37" ht="16.5" customHeight="1">
      <c r="A305" s="2"/>
      <c r="B305" s="11"/>
      <c r="C305" s="2"/>
      <c r="D305" s="3"/>
      <c r="E305" s="3"/>
      <c r="F305" s="2"/>
      <c r="G305" s="12"/>
      <c r="H305" s="12"/>
      <c r="I305" s="13"/>
      <c r="J305" s="13"/>
      <c r="K305" s="15"/>
      <c r="L305" s="3"/>
      <c r="M305" s="6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</row>
    <row r="306" spans="1:37" ht="16.5" customHeight="1">
      <c r="A306" s="2"/>
      <c r="B306" s="11"/>
      <c r="C306" s="2"/>
      <c r="D306" s="3"/>
      <c r="E306" s="3"/>
      <c r="F306" s="2"/>
      <c r="G306" s="12"/>
      <c r="H306" s="12"/>
      <c r="I306" s="13"/>
      <c r="J306" s="13"/>
      <c r="K306" s="15"/>
      <c r="L306" s="3"/>
      <c r="M306" s="6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</row>
    <row r="307" spans="1:37" ht="16.5" customHeight="1">
      <c r="A307" s="2"/>
      <c r="B307" s="11"/>
      <c r="C307" s="2"/>
      <c r="D307" s="3"/>
      <c r="E307" s="3"/>
      <c r="F307" s="2"/>
      <c r="G307" s="12"/>
      <c r="H307" s="12"/>
      <c r="I307" s="13"/>
      <c r="J307" s="13"/>
      <c r="K307" s="15"/>
      <c r="L307" s="3"/>
      <c r="M307" s="6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</row>
    <row r="308" spans="1:37" ht="16.5" customHeight="1">
      <c r="A308" s="2"/>
      <c r="B308" s="11"/>
      <c r="C308" s="2"/>
      <c r="D308" s="3"/>
      <c r="E308" s="3"/>
      <c r="F308" s="2"/>
      <c r="G308" s="12"/>
      <c r="H308" s="12"/>
      <c r="I308" s="13"/>
      <c r="J308" s="13"/>
      <c r="K308" s="15"/>
      <c r="L308" s="3"/>
      <c r="M308" s="6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</row>
    <row r="309" spans="1:37" ht="16.5" customHeight="1">
      <c r="A309" s="2"/>
      <c r="B309" s="11"/>
      <c r="C309" s="2"/>
      <c r="D309" s="3"/>
      <c r="E309" s="3"/>
      <c r="F309" s="2"/>
      <c r="G309" s="12"/>
      <c r="H309" s="12"/>
      <c r="I309" s="13"/>
      <c r="J309" s="13"/>
      <c r="K309" s="15"/>
      <c r="L309" s="3"/>
      <c r="M309" s="6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</row>
    <row r="310" spans="1:37" ht="16.5" customHeight="1">
      <c r="A310" s="2"/>
      <c r="B310" s="11"/>
      <c r="C310" s="2"/>
      <c r="D310" s="3"/>
      <c r="E310" s="3"/>
      <c r="F310" s="2"/>
      <c r="G310" s="12"/>
      <c r="H310" s="12"/>
      <c r="I310" s="13"/>
      <c r="J310" s="13"/>
      <c r="K310" s="15"/>
      <c r="L310" s="3"/>
      <c r="M310" s="6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</row>
    <row r="311" spans="1:37" ht="16.5" customHeight="1">
      <c r="A311" s="2"/>
      <c r="B311" s="11"/>
      <c r="C311" s="2"/>
      <c r="D311" s="3"/>
      <c r="E311" s="3"/>
      <c r="F311" s="2"/>
      <c r="G311" s="12"/>
      <c r="H311" s="12"/>
      <c r="I311" s="13"/>
      <c r="J311" s="13"/>
      <c r="K311" s="15"/>
      <c r="L311" s="3"/>
      <c r="M311" s="6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</row>
    <row r="312" spans="1:37" ht="16.5" customHeight="1">
      <c r="A312" s="2"/>
      <c r="B312" s="11"/>
      <c r="C312" s="2"/>
      <c r="D312" s="3"/>
      <c r="E312" s="3"/>
      <c r="F312" s="2"/>
      <c r="G312" s="12"/>
      <c r="H312" s="12"/>
      <c r="I312" s="13"/>
      <c r="J312" s="13"/>
      <c r="K312" s="15"/>
      <c r="L312" s="3"/>
      <c r="M312" s="6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</row>
    <row r="313" spans="1:37" ht="16.5" customHeight="1">
      <c r="A313" s="2"/>
      <c r="B313" s="11"/>
      <c r="C313" s="2"/>
      <c r="D313" s="3"/>
      <c r="E313" s="3"/>
      <c r="F313" s="2"/>
      <c r="G313" s="12"/>
      <c r="H313" s="12"/>
      <c r="I313" s="13"/>
      <c r="J313" s="13"/>
      <c r="K313" s="15"/>
      <c r="L313" s="3"/>
      <c r="M313" s="6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</row>
    <row r="314" spans="1:37" ht="16.5" customHeight="1">
      <c r="A314" s="2"/>
      <c r="B314" s="11"/>
      <c r="C314" s="2"/>
      <c r="D314" s="3"/>
      <c r="E314" s="3"/>
      <c r="F314" s="2"/>
      <c r="G314" s="12"/>
      <c r="H314" s="12"/>
      <c r="I314" s="13"/>
      <c r="J314" s="13"/>
      <c r="K314" s="15"/>
      <c r="L314" s="3"/>
      <c r="M314" s="6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</row>
    <row r="315" spans="1:37" ht="16.5" customHeight="1">
      <c r="A315" s="2"/>
      <c r="B315" s="11"/>
      <c r="C315" s="2"/>
      <c r="D315" s="3"/>
      <c r="E315" s="3"/>
      <c r="F315" s="2"/>
      <c r="G315" s="12"/>
      <c r="H315" s="12"/>
      <c r="I315" s="13"/>
      <c r="J315" s="13"/>
      <c r="K315" s="15"/>
      <c r="L315" s="3"/>
      <c r="M315" s="6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</row>
    <row r="316" spans="1:37" ht="16.5" customHeight="1">
      <c r="A316" s="2"/>
      <c r="B316" s="11"/>
      <c r="C316" s="2"/>
      <c r="D316" s="3"/>
      <c r="E316" s="3"/>
      <c r="F316" s="2"/>
      <c r="G316" s="12"/>
      <c r="H316" s="12"/>
      <c r="I316" s="13"/>
      <c r="J316" s="13"/>
      <c r="K316" s="15"/>
      <c r="L316" s="3"/>
      <c r="M316" s="6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</row>
    <row r="317" spans="1:37" ht="16.5" customHeight="1">
      <c r="A317" s="2"/>
      <c r="B317" s="11"/>
      <c r="C317" s="2"/>
      <c r="D317" s="3"/>
      <c r="E317" s="3"/>
      <c r="F317" s="2"/>
      <c r="G317" s="12"/>
      <c r="H317" s="12"/>
      <c r="I317" s="13"/>
      <c r="J317" s="13"/>
      <c r="K317" s="15"/>
      <c r="L317" s="3"/>
      <c r="M317" s="6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</row>
    <row r="318" spans="1:37" ht="16.5" customHeight="1">
      <c r="A318" s="2"/>
      <c r="B318" s="11"/>
      <c r="C318" s="2"/>
      <c r="D318" s="3"/>
      <c r="E318" s="3"/>
      <c r="F318" s="2"/>
      <c r="G318" s="12"/>
      <c r="H318" s="12"/>
      <c r="I318" s="13"/>
      <c r="J318" s="13"/>
      <c r="K318" s="15"/>
      <c r="L318" s="3"/>
      <c r="M318" s="6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</row>
    <row r="319" spans="1:37" ht="16.5" customHeight="1">
      <c r="A319" s="2"/>
      <c r="B319" s="11"/>
      <c r="C319" s="2"/>
      <c r="D319" s="3"/>
      <c r="E319" s="3"/>
      <c r="F319" s="2"/>
      <c r="G319" s="12"/>
      <c r="H319" s="12"/>
      <c r="I319" s="13"/>
      <c r="J319" s="13"/>
      <c r="K319" s="15"/>
      <c r="L319" s="3"/>
      <c r="M319" s="6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</row>
    <row r="320" spans="1:37" ht="16.5" customHeight="1">
      <c r="A320" s="2"/>
      <c r="B320" s="11"/>
      <c r="C320" s="2"/>
      <c r="D320" s="3"/>
      <c r="E320" s="3"/>
      <c r="F320" s="2"/>
      <c r="G320" s="12"/>
      <c r="H320" s="12"/>
      <c r="I320" s="13"/>
      <c r="J320" s="13"/>
      <c r="K320" s="15"/>
      <c r="L320" s="3"/>
      <c r="M320" s="6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</row>
    <row r="321" spans="1:37" ht="16.5" customHeight="1">
      <c r="A321" s="2"/>
      <c r="B321" s="11"/>
      <c r="C321" s="2"/>
      <c r="D321" s="3"/>
      <c r="E321" s="3"/>
      <c r="F321" s="2"/>
      <c r="G321" s="12"/>
      <c r="H321" s="12"/>
      <c r="I321" s="13"/>
      <c r="J321" s="13"/>
      <c r="K321" s="15"/>
      <c r="L321" s="3"/>
      <c r="M321" s="6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</row>
    <row r="322" spans="1:37" ht="16.5" customHeight="1">
      <c r="A322" s="2"/>
      <c r="B322" s="11"/>
      <c r="C322" s="2"/>
      <c r="D322" s="3"/>
      <c r="E322" s="3"/>
      <c r="F322" s="2"/>
      <c r="G322" s="12"/>
      <c r="H322" s="12"/>
      <c r="I322" s="13"/>
      <c r="J322" s="13"/>
      <c r="K322" s="15"/>
      <c r="L322" s="3"/>
      <c r="M322" s="6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</row>
    <row r="323" spans="1:37" ht="16.5" customHeight="1">
      <c r="A323" s="2"/>
      <c r="B323" s="11"/>
      <c r="C323" s="2"/>
      <c r="D323" s="3"/>
      <c r="E323" s="3"/>
      <c r="F323" s="2"/>
      <c r="G323" s="12"/>
      <c r="H323" s="12"/>
      <c r="I323" s="13"/>
      <c r="J323" s="13"/>
      <c r="K323" s="15"/>
      <c r="L323" s="3"/>
      <c r="M323" s="6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</row>
    <row r="324" spans="1:37" ht="16.5" customHeight="1">
      <c r="A324" s="2"/>
      <c r="B324" s="11"/>
      <c r="C324" s="2"/>
      <c r="D324" s="3"/>
      <c r="E324" s="3"/>
      <c r="F324" s="2"/>
      <c r="G324" s="12"/>
      <c r="H324" s="12"/>
      <c r="I324" s="13"/>
      <c r="J324" s="13"/>
      <c r="K324" s="15"/>
      <c r="L324" s="3"/>
      <c r="M324" s="6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</row>
    <row r="325" spans="1:37" ht="16.5" customHeight="1">
      <c r="A325" s="2"/>
      <c r="B325" s="11"/>
      <c r="C325" s="2"/>
      <c r="D325" s="3"/>
      <c r="E325" s="3"/>
      <c r="F325" s="2"/>
      <c r="G325" s="12"/>
      <c r="H325" s="12"/>
      <c r="I325" s="13"/>
      <c r="J325" s="13"/>
      <c r="K325" s="15"/>
      <c r="L325" s="3"/>
      <c r="M325" s="6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</row>
    <row r="326" spans="1:37" ht="16.5" customHeight="1">
      <c r="A326" s="2"/>
      <c r="B326" s="11"/>
      <c r="C326" s="2"/>
      <c r="D326" s="3"/>
      <c r="E326" s="3"/>
      <c r="F326" s="2"/>
      <c r="G326" s="12"/>
      <c r="H326" s="12"/>
      <c r="I326" s="13"/>
      <c r="J326" s="13"/>
      <c r="K326" s="15"/>
      <c r="L326" s="3"/>
      <c r="M326" s="6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</row>
    <row r="327" spans="1:37" ht="16.5" customHeight="1">
      <c r="A327" s="2"/>
      <c r="B327" s="11"/>
      <c r="C327" s="2"/>
      <c r="D327" s="3"/>
      <c r="E327" s="3"/>
      <c r="F327" s="2"/>
      <c r="G327" s="12"/>
      <c r="H327" s="12"/>
      <c r="I327" s="13"/>
      <c r="J327" s="13"/>
      <c r="K327" s="15"/>
      <c r="L327" s="3"/>
      <c r="M327" s="6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</row>
    <row r="328" spans="1:37" ht="16.5" customHeight="1">
      <c r="A328" s="2"/>
      <c r="B328" s="11"/>
      <c r="C328" s="2"/>
      <c r="D328" s="3"/>
      <c r="E328" s="3"/>
      <c r="F328" s="2"/>
      <c r="G328" s="12"/>
      <c r="H328" s="12"/>
      <c r="I328" s="13"/>
      <c r="J328" s="13"/>
      <c r="K328" s="15"/>
      <c r="L328" s="3"/>
      <c r="M328" s="6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</row>
    <row r="329" spans="1:37" ht="16.5" customHeight="1">
      <c r="A329" s="2"/>
      <c r="B329" s="11"/>
      <c r="C329" s="2"/>
      <c r="D329" s="3"/>
      <c r="E329" s="3"/>
      <c r="F329" s="2"/>
      <c r="G329" s="12"/>
      <c r="H329" s="12"/>
      <c r="I329" s="13"/>
      <c r="J329" s="13"/>
      <c r="K329" s="15"/>
      <c r="L329" s="3"/>
      <c r="M329" s="6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</row>
    <row r="330" spans="1:37" ht="16.5" customHeight="1">
      <c r="A330" s="2"/>
      <c r="B330" s="11"/>
      <c r="C330" s="2"/>
      <c r="D330" s="3"/>
      <c r="E330" s="3"/>
      <c r="F330" s="2"/>
      <c r="G330" s="12"/>
      <c r="H330" s="12"/>
      <c r="I330" s="13"/>
      <c r="J330" s="13"/>
      <c r="K330" s="15"/>
      <c r="L330" s="3"/>
      <c r="M330" s="6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</row>
    <row r="331" spans="1:37" ht="16.5" customHeight="1">
      <c r="A331" s="2"/>
      <c r="B331" s="11"/>
      <c r="C331" s="2"/>
      <c r="D331" s="3"/>
      <c r="E331" s="3"/>
      <c r="F331" s="2"/>
      <c r="G331" s="12"/>
      <c r="H331" s="12"/>
      <c r="I331" s="13"/>
      <c r="J331" s="13"/>
      <c r="K331" s="15"/>
      <c r="L331" s="3"/>
      <c r="M331" s="6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</row>
    <row r="332" spans="1:37" ht="16.5" customHeight="1">
      <c r="A332" s="2"/>
      <c r="B332" s="11"/>
      <c r="C332" s="2"/>
      <c r="D332" s="3"/>
      <c r="E332" s="3"/>
      <c r="F332" s="2"/>
      <c r="G332" s="12"/>
      <c r="H332" s="12"/>
      <c r="I332" s="13"/>
      <c r="J332" s="13"/>
      <c r="K332" s="15"/>
      <c r="L332" s="3"/>
      <c r="M332" s="6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</row>
    <row r="333" spans="1:37" ht="16.5" customHeight="1">
      <c r="A333" s="2"/>
      <c r="B333" s="11"/>
      <c r="C333" s="2"/>
      <c r="D333" s="3"/>
      <c r="E333" s="3"/>
      <c r="F333" s="2"/>
      <c r="G333" s="12"/>
      <c r="H333" s="12"/>
      <c r="I333" s="13"/>
      <c r="J333" s="13"/>
      <c r="K333" s="15"/>
      <c r="L333" s="3"/>
      <c r="M333" s="6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</row>
    <row r="334" spans="1:37" ht="16.5" customHeight="1">
      <c r="A334" s="2"/>
      <c r="B334" s="11"/>
      <c r="C334" s="2"/>
      <c r="D334" s="3"/>
      <c r="E334" s="3"/>
      <c r="F334" s="2"/>
      <c r="G334" s="12"/>
      <c r="H334" s="12"/>
      <c r="I334" s="13"/>
      <c r="J334" s="13"/>
      <c r="K334" s="15"/>
      <c r="L334" s="3"/>
      <c r="M334" s="6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</row>
    <row r="335" spans="1:37" ht="16.5" customHeight="1">
      <c r="A335" s="2"/>
      <c r="B335" s="11"/>
      <c r="C335" s="2"/>
      <c r="D335" s="3"/>
      <c r="E335" s="3"/>
      <c r="F335" s="2"/>
      <c r="G335" s="12"/>
      <c r="H335" s="12"/>
      <c r="I335" s="13"/>
      <c r="J335" s="13"/>
      <c r="K335" s="15"/>
      <c r="L335" s="3"/>
      <c r="M335" s="6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</row>
    <row r="336" spans="1:37" ht="16.5" customHeight="1">
      <c r="A336" s="2"/>
      <c r="B336" s="11"/>
      <c r="C336" s="2"/>
      <c r="D336" s="3"/>
      <c r="E336" s="3"/>
      <c r="F336" s="2"/>
      <c r="G336" s="12"/>
      <c r="H336" s="12"/>
      <c r="I336" s="13"/>
      <c r="J336" s="13"/>
      <c r="K336" s="15"/>
      <c r="L336" s="3"/>
      <c r="M336" s="6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</row>
    <row r="337" spans="1:37" ht="16.5" customHeight="1">
      <c r="A337" s="2"/>
      <c r="B337" s="11"/>
      <c r="C337" s="2"/>
      <c r="D337" s="3"/>
      <c r="E337" s="3"/>
      <c r="F337" s="2"/>
      <c r="G337" s="12"/>
      <c r="H337" s="12"/>
      <c r="I337" s="13"/>
      <c r="J337" s="13"/>
      <c r="K337" s="15"/>
      <c r="L337" s="3"/>
      <c r="M337" s="6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</row>
    <row r="338" spans="1:37" ht="16.5" customHeight="1">
      <c r="A338" s="2"/>
      <c r="B338" s="11"/>
      <c r="C338" s="2"/>
      <c r="D338" s="3"/>
      <c r="E338" s="3"/>
      <c r="F338" s="2"/>
      <c r="G338" s="12"/>
      <c r="H338" s="12"/>
      <c r="I338" s="13"/>
      <c r="J338" s="13"/>
      <c r="K338" s="15"/>
      <c r="L338" s="3"/>
      <c r="M338" s="6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</row>
    <row r="339" spans="1:37" ht="16.5" customHeight="1">
      <c r="A339" s="2"/>
      <c r="B339" s="11"/>
      <c r="C339" s="2"/>
      <c r="D339" s="3"/>
      <c r="E339" s="3"/>
      <c r="F339" s="2"/>
      <c r="G339" s="12"/>
      <c r="H339" s="12"/>
      <c r="I339" s="13"/>
      <c r="J339" s="13"/>
      <c r="K339" s="15"/>
      <c r="L339" s="3"/>
      <c r="M339" s="6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</row>
    <row r="340" spans="1:37" ht="16.5" customHeight="1">
      <c r="A340" s="2"/>
      <c r="B340" s="11"/>
      <c r="C340" s="2"/>
      <c r="D340" s="3"/>
      <c r="E340" s="3"/>
      <c r="F340" s="2"/>
      <c r="G340" s="12"/>
      <c r="H340" s="12"/>
      <c r="I340" s="13"/>
      <c r="J340" s="13"/>
      <c r="K340" s="15"/>
      <c r="L340" s="3"/>
      <c r="M340" s="6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</row>
    <row r="341" spans="1:37" ht="16.5" customHeight="1">
      <c r="A341" s="2"/>
      <c r="B341" s="11"/>
      <c r="C341" s="2"/>
      <c r="D341" s="3"/>
      <c r="E341" s="3"/>
      <c r="F341" s="2"/>
      <c r="G341" s="12"/>
      <c r="H341" s="12"/>
      <c r="I341" s="13"/>
      <c r="J341" s="13"/>
      <c r="K341" s="15"/>
      <c r="L341" s="3"/>
      <c r="M341" s="6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</row>
    <row r="342" spans="1:37" ht="16.5" customHeight="1">
      <c r="A342" s="2"/>
      <c r="B342" s="11"/>
      <c r="C342" s="2"/>
      <c r="D342" s="3"/>
      <c r="E342" s="3"/>
      <c r="F342" s="2"/>
      <c r="G342" s="12"/>
      <c r="H342" s="12"/>
      <c r="I342" s="13"/>
      <c r="J342" s="13"/>
      <c r="K342" s="15"/>
      <c r="L342" s="3"/>
      <c r="M342" s="6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</row>
    <row r="343" spans="1:37" ht="16.5" customHeight="1">
      <c r="A343" s="2"/>
      <c r="B343" s="11"/>
      <c r="C343" s="2"/>
      <c r="D343" s="3"/>
      <c r="E343" s="3"/>
      <c r="F343" s="2"/>
      <c r="G343" s="12"/>
      <c r="H343" s="12"/>
      <c r="I343" s="13"/>
      <c r="J343" s="13"/>
      <c r="K343" s="15"/>
      <c r="L343" s="3"/>
      <c r="M343" s="6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</row>
    <row r="344" spans="1:37" ht="16.5" customHeight="1">
      <c r="A344" s="2"/>
      <c r="B344" s="11"/>
      <c r="C344" s="2"/>
      <c r="D344" s="3"/>
      <c r="E344" s="3"/>
      <c r="F344" s="2"/>
      <c r="G344" s="12"/>
      <c r="H344" s="12"/>
      <c r="I344" s="13"/>
      <c r="J344" s="13"/>
      <c r="K344" s="15"/>
      <c r="L344" s="3"/>
      <c r="M344" s="6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</row>
    <row r="345" spans="1:37" ht="16.5" customHeight="1">
      <c r="A345" s="2"/>
      <c r="B345" s="11"/>
      <c r="C345" s="2"/>
      <c r="D345" s="3"/>
      <c r="E345" s="3"/>
      <c r="F345" s="2"/>
      <c r="G345" s="12"/>
      <c r="H345" s="12"/>
      <c r="I345" s="13"/>
      <c r="J345" s="13"/>
      <c r="K345" s="15"/>
      <c r="L345" s="3"/>
      <c r="M345" s="6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</row>
    <row r="346" spans="1:37" ht="16.5" customHeight="1">
      <c r="A346" s="2"/>
      <c r="B346" s="11"/>
      <c r="C346" s="2"/>
      <c r="D346" s="3"/>
      <c r="E346" s="3"/>
      <c r="F346" s="2"/>
      <c r="G346" s="12"/>
      <c r="H346" s="12"/>
      <c r="I346" s="13"/>
      <c r="J346" s="13"/>
      <c r="K346" s="15"/>
      <c r="L346" s="3"/>
      <c r="M346" s="6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</row>
    <row r="347" spans="1:37" ht="16.5" customHeight="1">
      <c r="A347" s="2"/>
      <c r="B347" s="11"/>
      <c r="C347" s="2"/>
      <c r="D347" s="3"/>
      <c r="E347" s="3"/>
      <c r="F347" s="2"/>
      <c r="G347" s="12"/>
      <c r="H347" s="12"/>
      <c r="I347" s="13"/>
      <c r="J347" s="13"/>
      <c r="K347" s="15"/>
      <c r="L347" s="3"/>
      <c r="M347" s="6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</row>
    <row r="348" spans="1:37" ht="16.5" customHeight="1">
      <c r="A348" s="2"/>
      <c r="B348" s="11"/>
      <c r="C348" s="2"/>
      <c r="D348" s="3"/>
      <c r="E348" s="3"/>
      <c r="F348" s="2"/>
      <c r="G348" s="12"/>
      <c r="H348" s="12"/>
      <c r="I348" s="13"/>
      <c r="J348" s="13"/>
      <c r="K348" s="15"/>
      <c r="L348" s="3"/>
      <c r="M348" s="6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</row>
    <row r="349" spans="1:37" ht="16.5" customHeight="1">
      <c r="A349" s="2"/>
      <c r="B349" s="11"/>
      <c r="C349" s="2"/>
      <c r="D349" s="3"/>
      <c r="E349" s="3"/>
      <c r="F349" s="2"/>
      <c r="G349" s="12"/>
      <c r="H349" s="12"/>
      <c r="I349" s="13"/>
      <c r="J349" s="13"/>
      <c r="K349" s="15"/>
      <c r="L349" s="3"/>
      <c r="M349" s="6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</row>
    <row r="350" spans="1:37" ht="16.5" customHeight="1">
      <c r="A350" s="2"/>
      <c r="B350" s="11"/>
      <c r="C350" s="2"/>
      <c r="D350" s="3"/>
      <c r="E350" s="3"/>
      <c r="F350" s="2"/>
      <c r="G350" s="12"/>
      <c r="H350" s="12"/>
      <c r="I350" s="13"/>
      <c r="J350" s="13"/>
      <c r="K350" s="15"/>
      <c r="L350" s="3"/>
      <c r="M350" s="6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</row>
    <row r="351" spans="1:37" ht="16.5" customHeight="1">
      <c r="A351" s="2"/>
      <c r="B351" s="11"/>
      <c r="C351" s="2"/>
      <c r="D351" s="3"/>
      <c r="E351" s="3"/>
      <c r="F351" s="2"/>
      <c r="G351" s="12"/>
      <c r="H351" s="12"/>
      <c r="I351" s="13"/>
      <c r="J351" s="13"/>
      <c r="K351" s="15"/>
      <c r="L351" s="3"/>
      <c r="M351" s="6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</row>
    <row r="352" spans="1:37" ht="16.5" customHeight="1">
      <c r="A352" s="2"/>
      <c r="B352" s="11"/>
      <c r="C352" s="2"/>
      <c r="D352" s="3"/>
      <c r="E352" s="3"/>
      <c r="F352" s="2"/>
      <c r="G352" s="12"/>
      <c r="H352" s="12"/>
      <c r="I352" s="13"/>
      <c r="J352" s="13"/>
      <c r="K352" s="15"/>
      <c r="L352" s="3"/>
      <c r="M352" s="6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</row>
    <row r="353" spans="1:37" ht="16.5" customHeight="1">
      <c r="A353" s="2"/>
      <c r="B353" s="11"/>
      <c r="C353" s="2"/>
      <c r="D353" s="3"/>
      <c r="E353" s="3"/>
      <c r="F353" s="2"/>
      <c r="G353" s="12"/>
      <c r="H353" s="12"/>
      <c r="I353" s="13"/>
      <c r="J353" s="13"/>
      <c r="K353" s="15"/>
      <c r="L353" s="3"/>
      <c r="M353" s="6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</row>
    <row r="354" spans="1:37" ht="16.5" customHeight="1">
      <c r="A354" s="2"/>
      <c r="B354" s="11"/>
      <c r="C354" s="2"/>
      <c r="D354" s="3"/>
      <c r="E354" s="3"/>
      <c r="F354" s="2"/>
      <c r="G354" s="12"/>
      <c r="H354" s="12"/>
      <c r="I354" s="13"/>
      <c r="J354" s="13"/>
      <c r="K354" s="15"/>
      <c r="L354" s="3"/>
      <c r="M354" s="6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</row>
    <row r="355" spans="1:37" ht="16.5" customHeight="1">
      <c r="A355" s="2"/>
      <c r="B355" s="11"/>
      <c r="C355" s="2"/>
      <c r="D355" s="3"/>
      <c r="E355" s="3"/>
      <c r="F355" s="2"/>
      <c r="G355" s="12"/>
      <c r="H355" s="12"/>
      <c r="I355" s="13"/>
      <c r="J355" s="13"/>
      <c r="K355" s="15"/>
      <c r="L355" s="3"/>
      <c r="M355" s="6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</row>
    <row r="356" spans="1:37" ht="16.5" customHeight="1">
      <c r="A356" s="2"/>
      <c r="B356" s="11"/>
      <c r="C356" s="2"/>
      <c r="D356" s="3"/>
      <c r="E356" s="3"/>
      <c r="F356" s="2"/>
      <c r="G356" s="12"/>
      <c r="H356" s="12"/>
      <c r="I356" s="13"/>
      <c r="J356" s="13"/>
      <c r="K356" s="15"/>
      <c r="L356" s="3"/>
      <c r="M356" s="6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</row>
    <row r="357" spans="1:37" ht="16.5" customHeight="1">
      <c r="A357" s="2"/>
      <c r="B357" s="11"/>
      <c r="C357" s="2"/>
      <c r="D357" s="3"/>
      <c r="E357" s="3"/>
      <c r="F357" s="2"/>
      <c r="G357" s="12"/>
      <c r="H357" s="12"/>
      <c r="I357" s="13"/>
      <c r="J357" s="13"/>
      <c r="K357" s="15"/>
      <c r="L357" s="3"/>
      <c r="M357" s="6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</row>
    <row r="358" spans="1:37" ht="16.5" customHeight="1">
      <c r="A358" s="2"/>
      <c r="B358" s="11"/>
      <c r="C358" s="2"/>
      <c r="D358" s="3"/>
      <c r="E358" s="3"/>
      <c r="F358" s="2"/>
      <c r="G358" s="12"/>
      <c r="H358" s="12"/>
      <c r="I358" s="13"/>
      <c r="J358" s="13"/>
      <c r="K358" s="15"/>
      <c r="L358" s="3"/>
      <c r="M358" s="6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</row>
    <row r="359" spans="1:37" ht="16.5" customHeight="1">
      <c r="A359" s="2"/>
      <c r="B359" s="11"/>
      <c r="C359" s="2"/>
      <c r="D359" s="3"/>
      <c r="E359" s="3"/>
      <c r="F359" s="2"/>
      <c r="G359" s="12"/>
      <c r="H359" s="12"/>
      <c r="I359" s="13"/>
      <c r="J359" s="13"/>
      <c r="K359" s="15"/>
      <c r="L359" s="3"/>
      <c r="M359" s="6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</row>
    <row r="360" spans="1:37" ht="16.5" customHeight="1">
      <c r="A360" s="2"/>
      <c r="B360" s="11"/>
      <c r="C360" s="2"/>
      <c r="D360" s="3"/>
      <c r="E360" s="3"/>
      <c r="F360" s="2"/>
      <c r="G360" s="12"/>
      <c r="H360" s="12"/>
      <c r="I360" s="13"/>
      <c r="J360" s="13"/>
      <c r="K360" s="15"/>
      <c r="L360" s="3"/>
      <c r="M360" s="6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</row>
    <row r="361" spans="1:37" ht="16.5" customHeight="1">
      <c r="A361" s="2"/>
      <c r="B361" s="11"/>
      <c r="C361" s="2"/>
      <c r="D361" s="3"/>
      <c r="E361" s="3"/>
      <c r="F361" s="2"/>
      <c r="G361" s="12"/>
      <c r="H361" s="12"/>
      <c r="I361" s="13"/>
      <c r="J361" s="13"/>
      <c r="K361" s="15"/>
      <c r="L361" s="3"/>
      <c r="M361" s="6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</row>
    <row r="362" spans="1:37" ht="16.5" customHeight="1">
      <c r="A362" s="2"/>
      <c r="B362" s="11"/>
      <c r="C362" s="2"/>
      <c r="D362" s="3"/>
      <c r="E362" s="3"/>
      <c r="F362" s="2"/>
      <c r="G362" s="12"/>
      <c r="H362" s="12"/>
      <c r="I362" s="13"/>
      <c r="J362" s="13"/>
      <c r="K362" s="15"/>
      <c r="L362" s="3"/>
      <c r="M362" s="6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</row>
    <row r="363" spans="1:37" ht="16.5" customHeight="1">
      <c r="A363" s="2"/>
      <c r="B363" s="11"/>
      <c r="C363" s="2"/>
      <c r="D363" s="3"/>
      <c r="E363" s="3"/>
      <c r="F363" s="2"/>
      <c r="G363" s="12"/>
      <c r="H363" s="12"/>
      <c r="I363" s="13"/>
      <c r="J363" s="13"/>
      <c r="K363" s="15"/>
      <c r="L363" s="3"/>
      <c r="M363" s="6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</row>
    <row r="364" spans="1:37" ht="16.5" customHeight="1">
      <c r="A364" s="2"/>
      <c r="B364" s="11"/>
      <c r="C364" s="2"/>
      <c r="D364" s="3"/>
      <c r="E364" s="3"/>
      <c r="F364" s="2"/>
      <c r="G364" s="12"/>
      <c r="H364" s="12"/>
      <c r="I364" s="13"/>
      <c r="J364" s="13"/>
      <c r="K364" s="15"/>
      <c r="L364" s="3"/>
      <c r="M364" s="6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</row>
    <row r="365" spans="1:37" ht="16.5" customHeight="1">
      <c r="A365" s="2"/>
      <c r="B365" s="11"/>
      <c r="C365" s="2"/>
      <c r="D365" s="3"/>
      <c r="E365" s="3"/>
      <c r="F365" s="2"/>
      <c r="G365" s="12"/>
      <c r="H365" s="12"/>
      <c r="I365" s="13"/>
      <c r="J365" s="13"/>
      <c r="K365" s="15"/>
      <c r="L365" s="3"/>
      <c r="M365" s="6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</row>
    <row r="366" spans="1:37" ht="16.5" customHeight="1">
      <c r="A366" s="2"/>
      <c r="B366" s="11"/>
      <c r="C366" s="2"/>
      <c r="D366" s="3"/>
      <c r="E366" s="3"/>
      <c r="F366" s="2"/>
      <c r="G366" s="12"/>
      <c r="H366" s="12"/>
      <c r="I366" s="13"/>
      <c r="J366" s="13"/>
      <c r="K366" s="15"/>
      <c r="L366" s="3"/>
      <c r="M366" s="6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</row>
    <row r="367" spans="1:37" ht="16.5" customHeight="1">
      <c r="A367" s="2"/>
      <c r="B367" s="11"/>
      <c r="C367" s="2"/>
      <c r="D367" s="3"/>
      <c r="E367" s="3"/>
      <c r="F367" s="2"/>
      <c r="G367" s="12"/>
      <c r="H367" s="12"/>
      <c r="I367" s="13"/>
      <c r="J367" s="13"/>
      <c r="K367" s="15"/>
      <c r="L367" s="3"/>
      <c r="M367" s="6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</row>
    <row r="368" spans="1:37" ht="16.5" customHeight="1">
      <c r="A368" s="2"/>
      <c r="B368" s="11"/>
      <c r="C368" s="2"/>
      <c r="D368" s="3"/>
      <c r="E368" s="3"/>
      <c r="F368" s="2"/>
      <c r="G368" s="12"/>
      <c r="H368" s="12"/>
      <c r="I368" s="13"/>
      <c r="J368" s="13"/>
      <c r="K368" s="15"/>
      <c r="L368" s="3"/>
      <c r="M368" s="6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</row>
    <row r="369" spans="1:37" ht="16.5" customHeight="1">
      <c r="A369" s="2"/>
      <c r="B369" s="11"/>
      <c r="C369" s="2"/>
      <c r="D369" s="3"/>
      <c r="E369" s="3"/>
      <c r="F369" s="2"/>
      <c r="G369" s="12"/>
      <c r="H369" s="12"/>
      <c r="I369" s="13"/>
      <c r="J369" s="13"/>
      <c r="K369" s="15"/>
      <c r="L369" s="3"/>
      <c r="M369" s="6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</row>
    <row r="370" spans="1:37" ht="16.5" customHeight="1">
      <c r="A370" s="2"/>
      <c r="B370" s="11"/>
      <c r="C370" s="2"/>
      <c r="D370" s="3"/>
      <c r="E370" s="3"/>
      <c r="F370" s="2"/>
      <c r="G370" s="12"/>
      <c r="H370" s="12"/>
      <c r="I370" s="13"/>
      <c r="J370" s="13"/>
      <c r="K370" s="15"/>
      <c r="L370" s="3"/>
      <c r="M370" s="6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</row>
    <row r="371" spans="1:37" ht="16.5" customHeight="1">
      <c r="A371" s="2"/>
      <c r="B371" s="11"/>
      <c r="C371" s="2"/>
      <c r="D371" s="3"/>
      <c r="E371" s="3"/>
      <c r="F371" s="2"/>
      <c r="G371" s="12"/>
      <c r="H371" s="12"/>
      <c r="I371" s="13"/>
      <c r="J371" s="13"/>
      <c r="K371" s="15"/>
      <c r="L371" s="3"/>
      <c r="M371" s="6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</row>
    <row r="372" spans="1:37" ht="16.5" customHeight="1">
      <c r="A372" s="2"/>
      <c r="B372" s="11"/>
      <c r="C372" s="2"/>
      <c r="D372" s="3"/>
      <c r="E372" s="3"/>
      <c r="F372" s="2"/>
      <c r="G372" s="12"/>
      <c r="H372" s="12"/>
      <c r="I372" s="13"/>
      <c r="J372" s="13"/>
      <c r="K372" s="15"/>
      <c r="L372" s="3"/>
      <c r="M372" s="6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</row>
    <row r="373" spans="1:37" ht="16.5" customHeight="1">
      <c r="A373" s="2"/>
      <c r="B373" s="11"/>
      <c r="C373" s="2"/>
      <c r="D373" s="3"/>
      <c r="E373" s="3"/>
      <c r="F373" s="2"/>
      <c r="G373" s="12"/>
      <c r="H373" s="12"/>
      <c r="I373" s="13"/>
      <c r="J373" s="13"/>
      <c r="K373" s="15"/>
      <c r="L373" s="3"/>
      <c r="M373" s="6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</row>
    <row r="374" spans="1:37" ht="16.5" customHeight="1">
      <c r="A374" s="2"/>
      <c r="B374" s="11"/>
      <c r="C374" s="2"/>
      <c r="D374" s="3"/>
      <c r="E374" s="3"/>
      <c r="F374" s="2"/>
      <c r="G374" s="12"/>
      <c r="H374" s="12"/>
      <c r="I374" s="13"/>
      <c r="J374" s="13"/>
      <c r="K374" s="15"/>
      <c r="L374" s="3"/>
      <c r="M374" s="6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</row>
    <row r="375" spans="1:37" ht="16.5" customHeight="1">
      <c r="A375" s="2"/>
      <c r="B375" s="11"/>
      <c r="C375" s="2"/>
      <c r="D375" s="3"/>
      <c r="E375" s="3"/>
      <c r="F375" s="2"/>
      <c r="G375" s="12"/>
      <c r="H375" s="12"/>
      <c r="I375" s="13"/>
      <c r="J375" s="13"/>
      <c r="K375" s="15"/>
      <c r="L375" s="3"/>
      <c r="M375" s="6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</row>
    <row r="376" spans="1:37" ht="16.5" customHeight="1">
      <c r="A376" s="2"/>
      <c r="B376" s="11"/>
      <c r="C376" s="2"/>
      <c r="D376" s="3"/>
      <c r="E376" s="3"/>
      <c r="F376" s="2"/>
      <c r="G376" s="12"/>
      <c r="H376" s="12"/>
      <c r="I376" s="13"/>
      <c r="J376" s="13"/>
      <c r="K376" s="15"/>
      <c r="L376" s="3"/>
      <c r="M376" s="6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</row>
    <row r="377" spans="1:37" ht="16.5" customHeight="1">
      <c r="A377" s="2"/>
      <c r="B377" s="11"/>
      <c r="C377" s="2"/>
      <c r="D377" s="3"/>
      <c r="E377" s="3"/>
      <c r="F377" s="2"/>
      <c r="G377" s="12"/>
      <c r="H377" s="12"/>
      <c r="I377" s="13"/>
      <c r="J377" s="13"/>
      <c r="K377" s="15"/>
      <c r="L377" s="3"/>
      <c r="M377" s="6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</row>
    <row r="378" spans="1:37" ht="16.5" customHeight="1">
      <c r="A378" s="2"/>
      <c r="B378" s="11"/>
      <c r="C378" s="2"/>
      <c r="D378" s="3"/>
      <c r="E378" s="3"/>
      <c r="F378" s="2"/>
      <c r="G378" s="12"/>
      <c r="H378" s="12"/>
      <c r="I378" s="13"/>
      <c r="J378" s="13"/>
      <c r="K378" s="15"/>
      <c r="L378" s="3"/>
      <c r="M378" s="6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</row>
    <row r="379" spans="1:37" ht="16.5" customHeight="1">
      <c r="A379" s="2"/>
      <c r="B379" s="11"/>
      <c r="C379" s="2"/>
      <c r="D379" s="3"/>
      <c r="E379" s="3"/>
      <c r="F379" s="2"/>
      <c r="G379" s="12"/>
      <c r="H379" s="12"/>
      <c r="I379" s="13"/>
      <c r="J379" s="13"/>
      <c r="K379" s="15"/>
      <c r="L379" s="3"/>
      <c r="M379" s="6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</row>
    <row r="380" spans="1:37" ht="16.5" customHeight="1">
      <c r="A380" s="2"/>
      <c r="B380" s="11"/>
      <c r="C380" s="2"/>
      <c r="D380" s="3"/>
      <c r="E380" s="3"/>
      <c r="F380" s="2"/>
      <c r="G380" s="12"/>
      <c r="H380" s="12"/>
      <c r="I380" s="13"/>
      <c r="J380" s="13"/>
      <c r="K380" s="15"/>
      <c r="L380" s="3"/>
      <c r="M380" s="6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</row>
    <row r="381" spans="1:37" ht="16.5" customHeight="1">
      <c r="A381" s="2"/>
      <c r="B381" s="11"/>
      <c r="C381" s="2"/>
      <c r="D381" s="3"/>
      <c r="E381" s="3"/>
      <c r="F381" s="2"/>
      <c r="G381" s="12"/>
      <c r="H381" s="12"/>
      <c r="I381" s="13"/>
      <c r="J381" s="13"/>
      <c r="K381" s="15"/>
      <c r="L381" s="3"/>
      <c r="M381" s="6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</row>
    <row r="382" spans="1:37" ht="16.5" customHeight="1">
      <c r="A382" s="2"/>
      <c r="B382" s="11"/>
      <c r="C382" s="2"/>
      <c r="D382" s="3"/>
      <c r="E382" s="3"/>
      <c r="F382" s="2"/>
      <c r="G382" s="12"/>
      <c r="H382" s="12"/>
      <c r="I382" s="13"/>
      <c r="J382" s="13"/>
      <c r="K382" s="15"/>
      <c r="L382" s="3"/>
      <c r="M382" s="6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</row>
    <row r="383" spans="1:37" ht="16.5" customHeight="1">
      <c r="A383" s="2"/>
      <c r="B383" s="11"/>
      <c r="C383" s="2"/>
      <c r="D383" s="3"/>
      <c r="E383" s="3"/>
      <c r="F383" s="2"/>
      <c r="G383" s="12"/>
      <c r="H383" s="12"/>
      <c r="I383" s="13"/>
      <c r="J383" s="13"/>
      <c r="K383" s="15"/>
      <c r="L383" s="3"/>
      <c r="M383" s="6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</row>
    <row r="384" spans="1:37" ht="16.5" customHeight="1">
      <c r="A384" s="2"/>
      <c r="B384" s="11"/>
      <c r="C384" s="2"/>
      <c r="D384" s="3"/>
      <c r="E384" s="3"/>
      <c r="F384" s="2"/>
      <c r="G384" s="12"/>
      <c r="H384" s="12"/>
      <c r="I384" s="13"/>
      <c r="J384" s="13"/>
      <c r="K384" s="15"/>
      <c r="L384" s="3"/>
      <c r="M384" s="6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</row>
    <row r="385" spans="1:37" ht="16.5" customHeight="1">
      <c r="A385" s="2"/>
      <c r="B385" s="11"/>
      <c r="C385" s="2"/>
      <c r="D385" s="3"/>
      <c r="E385" s="3"/>
      <c r="F385" s="2"/>
      <c r="G385" s="12"/>
      <c r="H385" s="12"/>
      <c r="I385" s="13"/>
      <c r="J385" s="13"/>
      <c r="K385" s="15"/>
      <c r="L385" s="3"/>
      <c r="M385" s="6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</row>
    <row r="386" spans="1:37" ht="16.5" customHeight="1">
      <c r="A386" s="2"/>
      <c r="B386" s="11"/>
      <c r="C386" s="2"/>
      <c r="D386" s="3"/>
      <c r="E386" s="3"/>
      <c r="F386" s="2"/>
      <c r="G386" s="12"/>
      <c r="H386" s="12"/>
      <c r="I386" s="13"/>
      <c r="J386" s="13"/>
      <c r="K386" s="15"/>
      <c r="L386" s="3"/>
      <c r="M386" s="6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</row>
    <row r="387" spans="1:37" ht="16.5" customHeight="1">
      <c r="A387" s="2"/>
      <c r="B387" s="11"/>
      <c r="C387" s="2"/>
      <c r="D387" s="3"/>
      <c r="E387" s="3"/>
      <c r="F387" s="2"/>
      <c r="G387" s="12"/>
      <c r="H387" s="12"/>
      <c r="I387" s="13"/>
      <c r="J387" s="13"/>
      <c r="K387" s="15"/>
      <c r="L387" s="3"/>
      <c r="M387" s="6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</row>
    <row r="388" spans="1:37" ht="16.5" customHeight="1">
      <c r="A388" s="2"/>
      <c r="B388" s="11"/>
      <c r="C388" s="2"/>
      <c r="D388" s="3"/>
      <c r="E388" s="3"/>
      <c r="F388" s="2"/>
      <c r="G388" s="12"/>
      <c r="H388" s="12"/>
      <c r="I388" s="13"/>
      <c r="J388" s="13"/>
      <c r="K388" s="15"/>
      <c r="L388" s="3"/>
      <c r="M388" s="6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</row>
    <row r="389" spans="1:37" ht="16.5" customHeight="1">
      <c r="A389" s="2"/>
      <c r="B389" s="11"/>
      <c r="C389" s="2"/>
      <c r="D389" s="3"/>
      <c r="E389" s="3"/>
      <c r="F389" s="2"/>
      <c r="G389" s="12"/>
      <c r="H389" s="12"/>
      <c r="I389" s="13"/>
      <c r="J389" s="13"/>
      <c r="K389" s="15"/>
      <c r="L389" s="3"/>
      <c r="M389" s="6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</row>
    <row r="390" spans="1:37" ht="16.5" customHeight="1">
      <c r="A390" s="2"/>
      <c r="B390" s="11"/>
      <c r="C390" s="2"/>
      <c r="D390" s="3"/>
      <c r="E390" s="3"/>
      <c r="F390" s="2"/>
      <c r="G390" s="12"/>
      <c r="H390" s="12"/>
      <c r="I390" s="13"/>
      <c r="J390" s="13"/>
      <c r="K390" s="15"/>
      <c r="L390" s="3"/>
      <c r="M390" s="6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</row>
    <row r="391" spans="1:37" ht="16.5" customHeight="1">
      <c r="A391" s="2"/>
      <c r="B391" s="11"/>
      <c r="C391" s="2"/>
      <c r="D391" s="3"/>
      <c r="E391" s="3"/>
      <c r="F391" s="2"/>
      <c r="G391" s="12"/>
      <c r="H391" s="12"/>
      <c r="I391" s="13"/>
      <c r="J391" s="13"/>
      <c r="K391" s="15"/>
      <c r="L391" s="3"/>
      <c r="M391" s="6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</row>
    <row r="392" spans="1:37" ht="16.5" customHeight="1">
      <c r="A392" s="2"/>
      <c r="B392" s="11"/>
      <c r="C392" s="2"/>
      <c r="D392" s="3"/>
      <c r="E392" s="3"/>
      <c r="F392" s="2"/>
      <c r="G392" s="12"/>
      <c r="H392" s="12"/>
      <c r="I392" s="13"/>
      <c r="J392" s="13"/>
      <c r="K392" s="15"/>
      <c r="L392" s="3"/>
      <c r="M392" s="6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</row>
    <row r="393" spans="1:37" ht="16.5" customHeight="1">
      <c r="A393" s="2"/>
      <c r="B393" s="11"/>
      <c r="C393" s="2"/>
      <c r="D393" s="3"/>
      <c r="E393" s="3"/>
      <c r="F393" s="2"/>
      <c r="G393" s="12"/>
      <c r="H393" s="12"/>
      <c r="I393" s="13"/>
      <c r="J393" s="13"/>
      <c r="K393" s="15"/>
      <c r="L393" s="3"/>
      <c r="M393" s="6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</row>
    <row r="394" spans="1:37" ht="16.5" customHeight="1">
      <c r="A394" s="2"/>
      <c r="B394" s="11"/>
      <c r="C394" s="2"/>
      <c r="D394" s="3"/>
      <c r="E394" s="3"/>
      <c r="F394" s="2"/>
      <c r="G394" s="12"/>
      <c r="H394" s="12"/>
      <c r="I394" s="13"/>
      <c r="J394" s="13"/>
      <c r="K394" s="15"/>
      <c r="L394" s="3"/>
      <c r="M394" s="6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</row>
    <row r="395" spans="1:37" ht="16.5" customHeight="1">
      <c r="A395" s="2"/>
      <c r="B395" s="11"/>
      <c r="C395" s="2"/>
      <c r="D395" s="3"/>
      <c r="E395" s="3"/>
      <c r="F395" s="2"/>
      <c r="G395" s="12"/>
      <c r="H395" s="12"/>
      <c r="I395" s="13"/>
      <c r="J395" s="13"/>
      <c r="K395" s="15"/>
      <c r="L395" s="3"/>
      <c r="M395" s="6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</row>
    <row r="396" spans="1:37" ht="16.5" customHeight="1">
      <c r="A396" s="2"/>
      <c r="B396" s="11"/>
      <c r="C396" s="2"/>
      <c r="D396" s="3"/>
      <c r="E396" s="3"/>
      <c r="F396" s="2"/>
      <c r="G396" s="12"/>
      <c r="H396" s="12"/>
      <c r="I396" s="13"/>
      <c r="J396" s="13"/>
      <c r="K396" s="15"/>
      <c r="L396" s="3"/>
      <c r="M396" s="6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</row>
    <row r="397" spans="1:37" ht="16.5" customHeight="1">
      <c r="A397" s="2"/>
      <c r="B397" s="11"/>
      <c r="C397" s="2"/>
      <c r="D397" s="3"/>
      <c r="E397" s="3"/>
      <c r="F397" s="2"/>
      <c r="G397" s="12"/>
      <c r="H397" s="12"/>
      <c r="I397" s="13"/>
      <c r="J397" s="13"/>
      <c r="K397" s="15"/>
      <c r="L397" s="3"/>
      <c r="M397" s="6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</row>
    <row r="398" spans="1:37" ht="16.5" customHeight="1">
      <c r="A398" s="2"/>
      <c r="B398" s="11"/>
      <c r="C398" s="2"/>
      <c r="D398" s="3"/>
      <c r="E398" s="3"/>
      <c r="F398" s="2"/>
      <c r="G398" s="12"/>
      <c r="H398" s="12"/>
      <c r="I398" s="13"/>
      <c r="J398" s="13"/>
      <c r="K398" s="15"/>
      <c r="L398" s="3"/>
      <c r="M398" s="6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</row>
    <row r="399" spans="1:37" ht="16.5" customHeight="1">
      <c r="A399" s="2"/>
      <c r="B399" s="11"/>
      <c r="C399" s="2"/>
      <c r="D399" s="3"/>
      <c r="E399" s="3"/>
      <c r="F399" s="2"/>
      <c r="G399" s="12"/>
      <c r="H399" s="12"/>
      <c r="I399" s="13"/>
      <c r="J399" s="13"/>
      <c r="K399" s="15"/>
      <c r="L399" s="3"/>
      <c r="M399" s="6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</row>
    <row r="400" spans="1:37" ht="16.5" customHeight="1">
      <c r="A400" s="2"/>
      <c r="B400" s="11"/>
      <c r="C400" s="2"/>
      <c r="D400" s="3"/>
      <c r="E400" s="3"/>
      <c r="F400" s="2"/>
      <c r="G400" s="12"/>
      <c r="H400" s="12"/>
      <c r="I400" s="13"/>
      <c r="J400" s="13"/>
      <c r="K400" s="15"/>
      <c r="L400" s="3"/>
      <c r="M400" s="6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</row>
    <row r="401" spans="1:37" ht="16.5" customHeight="1">
      <c r="A401" s="2"/>
      <c r="B401" s="11"/>
      <c r="C401" s="2"/>
      <c r="D401" s="3"/>
      <c r="E401" s="3"/>
      <c r="F401" s="2"/>
      <c r="G401" s="12"/>
      <c r="H401" s="12"/>
      <c r="I401" s="13"/>
      <c r="J401" s="13"/>
      <c r="K401" s="15"/>
      <c r="L401" s="3"/>
      <c r="M401" s="6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</row>
    <row r="402" spans="1:37" ht="16.5" customHeight="1">
      <c r="A402" s="2"/>
      <c r="B402" s="11"/>
      <c r="C402" s="2"/>
      <c r="D402" s="3"/>
      <c r="E402" s="3"/>
      <c r="F402" s="2"/>
      <c r="G402" s="12"/>
      <c r="H402" s="12"/>
      <c r="I402" s="13"/>
      <c r="J402" s="13"/>
      <c r="K402" s="15"/>
      <c r="L402" s="3"/>
      <c r="M402" s="6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</row>
    <row r="403" spans="1:37" ht="16.5" customHeight="1">
      <c r="A403" s="2"/>
      <c r="B403" s="11"/>
      <c r="C403" s="2"/>
      <c r="D403" s="3"/>
      <c r="E403" s="3"/>
      <c r="F403" s="2"/>
      <c r="G403" s="12"/>
      <c r="H403" s="12"/>
      <c r="I403" s="13"/>
      <c r="J403" s="13"/>
      <c r="K403" s="15"/>
      <c r="L403" s="3"/>
      <c r="M403" s="6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</row>
    <row r="404" spans="1:37" ht="16.5" customHeight="1">
      <c r="A404" s="2"/>
      <c r="B404" s="11"/>
      <c r="C404" s="2"/>
      <c r="D404" s="3"/>
      <c r="E404" s="3"/>
      <c r="F404" s="2"/>
      <c r="G404" s="12"/>
      <c r="H404" s="12"/>
      <c r="I404" s="13"/>
      <c r="J404" s="13"/>
      <c r="K404" s="15"/>
      <c r="L404" s="3"/>
      <c r="M404" s="6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</row>
    <row r="405" spans="1:37" ht="16.5" customHeight="1">
      <c r="A405" s="2"/>
      <c r="B405" s="11"/>
      <c r="C405" s="2"/>
      <c r="D405" s="3"/>
      <c r="E405" s="3"/>
      <c r="F405" s="2"/>
      <c r="G405" s="12"/>
      <c r="H405" s="12"/>
      <c r="I405" s="13"/>
      <c r="J405" s="13"/>
      <c r="K405" s="15"/>
      <c r="L405" s="3"/>
      <c r="M405" s="6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</row>
    <row r="406" spans="1:37" ht="16.5" customHeight="1">
      <c r="A406" s="2"/>
      <c r="B406" s="11"/>
      <c r="C406" s="2"/>
      <c r="D406" s="3"/>
      <c r="E406" s="3"/>
      <c r="F406" s="2"/>
      <c r="G406" s="12"/>
      <c r="H406" s="12"/>
      <c r="I406" s="13"/>
      <c r="J406" s="13"/>
      <c r="K406" s="15"/>
      <c r="L406" s="3"/>
      <c r="M406" s="6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</row>
    <row r="407" spans="1:37" ht="16.5" customHeight="1">
      <c r="A407" s="2"/>
      <c r="B407" s="11"/>
      <c r="C407" s="2"/>
      <c r="D407" s="3"/>
      <c r="E407" s="3"/>
      <c r="F407" s="2"/>
      <c r="G407" s="12"/>
      <c r="H407" s="12"/>
      <c r="I407" s="13"/>
      <c r="J407" s="13"/>
      <c r="K407" s="15"/>
      <c r="L407" s="3"/>
      <c r="M407" s="6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</row>
    <row r="408" spans="1:37" ht="16.5" customHeight="1">
      <c r="A408" s="2"/>
      <c r="B408" s="11"/>
      <c r="C408" s="2"/>
      <c r="D408" s="3"/>
      <c r="E408" s="3"/>
      <c r="F408" s="2"/>
      <c r="G408" s="12"/>
      <c r="H408" s="12"/>
      <c r="I408" s="13"/>
      <c r="J408" s="13"/>
      <c r="K408" s="15"/>
      <c r="L408" s="3"/>
      <c r="M408" s="6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</row>
    <row r="409" spans="1:37" ht="16.5" customHeight="1">
      <c r="A409" s="2"/>
      <c r="B409" s="11"/>
      <c r="C409" s="2"/>
      <c r="D409" s="3"/>
      <c r="E409" s="3"/>
      <c r="F409" s="2"/>
      <c r="G409" s="12"/>
      <c r="H409" s="12"/>
      <c r="I409" s="13"/>
      <c r="J409" s="13"/>
      <c r="K409" s="15"/>
      <c r="L409" s="3"/>
      <c r="M409" s="6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</row>
    <row r="410" spans="1:37" ht="16.5" customHeight="1">
      <c r="A410" s="2"/>
      <c r="B410" s="11"/>
      <c r="C410" s="2"/>
      <c r="D410" s="3"/>
      <c r="E410" s="3"/>
      <c r="F410" s="2"/>
      <c r="G410" s="12"/>
      <c r="H410" s="12"/>
      <c r="I410" s="13"/>
      <c r="J410" s="13"/>
      <c r="K410" s="15"/>
      <c r="L410" s="3"/>
      <c r="M410" s="6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</row>
    <row r="411" spans="1:37" ht="16.5" customHeight="1">
      <c r="A411" s="2"/>
      <c r="B411" s="11"/>
      <c r="C411" s="2"/>
      <c r="D411" s="3"/>
      <c r="E411" s="3"/>
      <c r="F411" s="2"/>
      <c r="G411" s="12"/>
      <c r="H411" s="12"/>
      <c r="I411" s="13"/>
      <c r="J411" s="13"/>
      <c r="K411" s="15"/>
      <c r="L411" s="3"/>
      <c r="M411" s="6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</row>
    <row r="412" spans="1:37" ht="16.5" customHeight="1">
      <c r="A412" s="2"/>
      <c r="B412" s="11"/>
      <c r="C412" s="2"/>
      <c r="D412" s="3"/>
      <c r="E412" s="3"/>
      <c r="F412" s="2"/>
      <c r="G412" s="12"/>
      <c r="H412" s="12"/>
      <c r="I412" s="13"/>
      <c r="J412" s="13"/>
      <c r="K412" s="15"/>
      <c r="L412" s="3"/>
      <c r="M412" s="6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</row>
    <row r="413" spans="1:37" ht="16.5" customHeight="1">
      <c r="A413" s="2"/>
      <c r="B413" s="11"/>
      <c r="C413" s="2"/>
      <c r="D413" s="3"/>
      <c r="E413" s="3"/>
      <c r="F413" s="2"/>
      <c r="G413" s="12"/>
      <c r="H413" s="12"/>
      <c r="I413" s="13"/>
      <c r="J413" s="13"/>
      <c r="K413" s="15"/>
      <c r="L413" s="3"/>
      <c r="M413" s="6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</row>
    <row r="414" spans="1:37" ht="16.5" customHeight="1">
      <c r="A414" s="2"/>
      <c r="B414" s="11"/>
      <c r="C414" s="2"/>
      <c r="D414" s="3"/>
      <c r="E414" s="3"/>
      <c r="F414" s="2"/>
      <c r="G414" s="12"/>
      <c r="H414" s="12"/>
      <c r="I414" s="13"/>
      <c r="J414" s="13"/>
      <c r="K414" s="15"/>
      <c r="L414" s="3"/>
      <c r="M414" s="6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</row>
    <row r="415" spans="1:37" ht="16.5" customHeight="1">
      <c r="A415" s="2"/>
      <c r="B415" s="11"/>
      <c r="C415" s="2"/>
      <c r="D415" s="3"/>
      <c r="E415" s="3"/>
      <c r="F415" s="2"/>
      <c r="G415" s="12"/>
      <c r="H415" s="12"/>
      <c r="I415" s="13"/>
      <c r="J415" s="13"/>
      <c r="K415" s="15"/>
      <c r="L415" s="3"/>
      <c r="M415" s="6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</row>
    <row r="416" spans="1:37" ht="16.5" customHeight="1">
      <c r="A416" s="2"/>
      <c r="B416" s="11"/>
      <c r="C416" s="2"/>
      <c r="D416" s="3"/>
      <c r="E416" s="3"/>
      <c r="F416" s="2"/>
      <c r="G416" s="12"/>
      <c r="H416" s="12"/>
      <c r="I416" s="13"/>
      <c r="J416" s="13"/>
      <c r="K416" s="15"/>
      <c r="L416" s="3"/>
      <c r="M416" s="6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</row>
    <row r="417" spans="1:37" ht="16.5" customHeight="1">
      <c r="A417" s="2"/>
      <c r="B417" s="11"/>
      <c r="C417" s="2"/>
      <c r="D417" s="3"/>
      <c r="E417" s="3"/>
      <c r="F417" s="2"/>
      <c r="G417" s="12"/>
      <c r="H417" s="12"/>
      <c r="I417" s="13"/>
      <c r="J417" s="13"/>
      <c r="K417" s="15"/>
      <c r="L417" s="3"/>
      <c r="M417" s="6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</row>
    <row r="418" spans="1:37" ht="16.5" customHeight="1">
      <c r="A418" s="2"/>
      <c r="B418" s="11"/>
      <c r="C418" s="2"/>
      <c r="D418" s="3"/>
      <c r="E418" s="3"/>
      <c r="F418" s="2"/>
      <c r="G418" s="12"/>
      <c r="H418" s="12"/>
      <c r="I418" s="13"/>
      <c r="J418" s="13"/>
      <c r="K418" s="15"/>
      <c r="L418" s="3"/>
      <c r="M418" s="6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</row>
    <row r="419" spans="1:37" ht="16.5" customHeight="1">
      <c r="A419" s="2"/>
      <c r="B419" s="11"/>
      <c r="C419" s="2"/>
      <c r="D419" s="3"/>
      <c r="E419" s="3"/>
      <c r="F419" s="2"/>
      <c r="G419" s="12"/>
      <c r="H419" s="12"/>
      <c r="I419" s="13"/>
      <c r="J419" s="13"/>
      <c r="K419" s="15"/>
      <c r="L419" s="3"/>
      <c r="M419" s="6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</row>
    <row r="420" spans="1:37" ht="16.5" customHeight="1">
      <c r="A420" s="2"/>
      <c r="B420" s="11"/>
      <c r="C420" s="2"/>
      <c r="D420" s="3"/>
      <c r="E420" s="3"/>
      <c r="F420" s="2"/>
      <c r="G420" s="12"/>
      <c r="H420" s="12"/>
      <c r="I420" s="13"/>
      <c r="J420" s="13"/>
      <c r="K420" s="15"/>
      <c r="L420" s="3"/>
      <c r="M420" s="6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</row>
    <row r="421" spans="1:37" ht="16.5" customHeight="1">
      <c r="A421" s="2"/>
      <c r="B421" s="11"/>
      <c r="C421" s="2"/>
      <c r="D421" s="3"/>
      <c r="E421" s="3"/>
      <c r="F421" s="2"/>
      <c r="G421" s="12"/>
      <c r="H421" s="12"/>
      <c r="I421" s="13"/>
      <c r="J421" s="13"/>
      <c r="K421" s="15"/>
      <c r="L421" s="3"/>
      <c r="M421" s="6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</row>
    <row r="422" spans="1:37" ht="16.5" customHeight="1">
      <c r="A422" s="2"/>
      <c r="B422" s="11"/>
      <c r="C422" s="2"/>
      <c r="D422" s="3"/>
      <c r="E422" s="3"/>
      <c r="F422" s="2"/>
      <c r="G422" s="12"/>
      <c r="H422" s="12"/>
      <c r="I422" s="13"/>
      <c r="J422" s="13"/>
      <c r="K422" s="15"/>
      <c r="L422" s="3"/>
      <c r="M422" s="6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</row>
    <row r="423" spans="1:37" ht="16.5" customHeight="1">
      <c r="A423" s="2"/>
      <c r="B423" s="11"/>
      <c r="C423" s="2"/>
      <c r="D423" s="3"/>
      <c r="E423" s="3"/>
      <c r="F423" s="2"/>
      <c r="G423" s="12"/>
      <c r="H423" s="12"/>
      <c r="I423" s="13"/>
      <c r="J423" s="13"/>
      <c r="K423" s="15"/>
      <c r="L423" s="3"/>
      <c r="M423" s="6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</row>
    <row r="424" spans="1:37" ht="16.5" customHeight="1">
      <c r="A424" s="2"/>
      <c r="B424" s="11"/>
      <c r="C424" s="2"/>
      <c r="D424" s="3"/>
      <c r="E424" s="3"/>
      <c r="F424" s="2"/>
      <c r="G424" s="12"/>
      <c r="H424" s="12"/>
      <c r="I424" s="13"/>
      <c r="J424" s="13"/>
      <c r="K424" s="15"/>
      <c r="L424" s="3"/>
      <c r="M424" s="6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</row>
    <row r="425" spans="1:37" ht="16.5" customHeight="1">
      <c r="A425" s="2"/>
      <c r="B425" s="11"/>
      <c r="C425" s="2"/>
      <c r="D425" s="3"/>
      <c r="E425" s="3"/>
      <c r="F425" s="2"/>
      <c r="G425" s="12"/>
      <c r="H425" s="12"/>
      <c r="I425" s="13"/>
      <c r="J425" s="13"/>
      <c r="K425" s="15"/>
      <c r="L425" s="3"/>
      <c r="M425" s="6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</row>
    <row r="426" spans="1:37" ht="16.5" customHeight="1">
      <c r="A426" s="2"/>
      <c r="B426" s="11"/>
      <c r="C426" s="2"/>
      <c r="D426" s="3"/>
      <c r="E426" s="3"/>
      <c r="F426" s="2"/>
      <c r="G426" s="12"/>
      <c r="H426" s="12"/>
      <c r="I426" s="13"/>
      <c r="J426" s="13"/>
      <c r="K426" s="15"/>
      <c r="L426" s="3"/>
      <c r="M426" s="6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</row>
    <row r="427" spans="1:37" ht="16.5" customHeight="1">
      <c r="A427" s="2"/>
      <c r="B427" s="11"/>
      <c r="C427" s="2"/>
      <c r="D427" s="3"/>
      <c r="E427" s="3"/>
      <c r="F427" s="2"/>
      <c r="G427" s="12"/>
      <c r="H427" s="12"/>
      <c r="I427" s="13"/>
      <c r="J427" s="13"/>
      <c r="K427" s="15"/>
      <c r="L427" s="3"/>
      <c r="M427" s="6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</row>
    <row r="428" spans="1:37" ht="16.5" customHeight="1">
      <c r="A428" s="2"/>
      <c r="B428" s="11"/>
      <c r="C428" s="2"/>
      <c r="D428" s="3"/>
      <c r="E428" s="3"/>
      <c r="F428" s="2"/>
      <c r="G428" s="12"/>
      <c r="H428" s="12"/>
      <c r="I428" s="13"/>
      <c r="J428" s="13"/>
      <c r="K428" s="15"/>
      <c r="L428" s="3"/>
      <c r="M428" s="6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</row>
    <row r="429" spans="1:37" ht="16.5" customHeight="1">
      <c r="A429" s="2"/>
      <c r="B429" s="11"/>
      <c r="C429" s="2"/>
      <c r="D429" s="3"/>
      <c r="E429" s="3"/>
      <c r="F429" s="2"/>
      <c r="G429" s="12"/>
      <c r="H429" s="12"/>
      <c r="I429" s="13"/>
      <c r="J429" s="13"/>
      <c r="K429" s="15"/>
      <c r="L429" s="3"/>
      <c r="M429" s="6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</row>
    <row r="430" spans="1:37" ht="16.5" customHeight="1">
      <c r="A430" s="2"/>
      <c r="B430" s="11"/>
      <c r="C430" s="2"/>
      <c r="D430" s="3"/>
      <c r="E430" s="3"/>
      <c r="F430" s="2"/>
      <c r="G430" s="12"/>
      <c r="H430" s="12"/>
      <c r="I430" s="13"/>
      <c r="J430" s="13"/>
      <c r="K430" s="15"/>
      <c r="L430" s="3"/>
      <c r="M430" s="6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</row>
    <row r="431" spans="1:37" ht="16.5" customHeight="1">
      <c r="A431" s="2"/>
      <c r="B431" s="11"/>
      <c r="C431" s="2"/>
      <c r="D431" s="3"/>
      <c r="E431" s="3"/>
      <c r="F431" s="2"/>
      <c r="G431" s="12"/>
      <c r="H431" s="12"/>
      <c r="I431" s="13"/>
      <c r="J431" s="13"/>
      <c r="K431" s="15"/>
      <c r="L431" s="3"/>
      <c r="M431" s="6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</row>
    <row r="432" spans="1:37" ht="16.5" customHeight="1">
      <c r="A432" s="2"/>
      <c r="B432" s="11"/>
      <c r="C432" s="2"/>
      <c r="D432" s="3"/>
      <c r="E432" s="3"/>
      <c r="F432" s="2"/>
      <c r="G432" s="12"/>
      <c r="H432" s="12"/>
      <c r="I432" s="13"/>
      <c r="J432" s="13"/>
      <c r="K432" s="15"/>
      <c r="L432" s="3"/>
      <c r="M432" s="6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</row>
    <row r="433" spans="1:37" ht="16.5" customHeight="1">
      <c r="A433" s="2"/>
      <c r="B433" s="11"/>
      <c r="C433" s="2"/>
      <c r="D433" s="3"/>
      <c r="E433" s="3"/>
      <c r="F433" s="2"/>
      <c r="G433" s="12"/>
      <c r="H433" s="12"/>
      <c r="I433" s="13"/>
      <c r="J433" s="13"/>
      <c r="K433" s="15"/>
      <c r="L433" s="3"/>
      <c r="M433" s="6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</row>
    <row r="434" spans="1:37" ht="16.5" customHeight="1">
      <c r="A434" s="2"/>
      <c r="B434" s="11"/>
      <c r="C434" s="2"/>
      <c r="D434" s="3"/>
      <c r="E434" s="3"/>
      <c r="F434" s="2"/>
      <c r="G434" s="12"/>
      <c r="H434" s="12"/>
      <c r="I434" s="13"/>
      <c r="J434" s="13"/>
      <c r="K434" s="15"/>
      <c r="L434" s="3"/>
      <c r="M434" s="6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</row>
    <row r="435" spans="1:37" ht="16.5" customHeight="1">
      <c r="A435" s="2"/>
      <c r="B435" s="11"/>
      <c r="C435" s="2"/>
      <c r="D435" s="3"/>
      <c r="E435" s="3"/>
      <c r="F435" s="2"/>
      <c r="G435" s="12"/>
      <c r="H435" s="12"/>
      <c r="I435" s="13"/>
      <c r="J435" s="13"/>
      <c r="K435" s="15"/>
      <c r="L435" s="3"/>
      <c r="M435" s="6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</row>
    <row r="436" spans="1:37" ht="16.5" customHeight="1">
      <c r="A436" s="2"/>
      <c r="B436" s="11"/>
      <c r="C436" s="2"/>
      <c r="D436" s="3"/>
      <c r="E436" s="3"/>
      <c r="F436" s="2"/>
      <c r="G436" s="12"/>
      <c r="H436" s="12"/>
      <c r="I436" s="13"/>
      <c r="J436" s="13"/>
      <c r="K436" s="15"/>
      <c r="L436" s="3"/>
      <c r="M436" s="6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</row>
    <row r="437" spans="1:37" ht="16.5" customHeight="1">
      <c r="A437" s="2"/>
      <c r="B437" s="11"/>
      <c r="C437" s="2"/>
      <c r="D437" s="3"/>
      <c r="E437" s="3"/>
      <c r="F437" s="2"/>
      <c r="G437" s="12"/>
      <c r="H437" s="12"/>
      <c r="I437" s="13"/>
      <c r="J437" s="13"/>
      <c r="K437" s="15"/>
      <c r="L437" s="3"/>
      <c r="M437" s="6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</row>
    <row r="438" spans="1:37" ht="16.5" customHeight="1">
      <c r="A438" s="2"/>
      <c r="B438" s="11"/>
      <c r="C438" s="2"/>
      <c r="D438" s="3"/>
      <c r="E438" s="3"/>
      <c r="F438" s="2"/>
      <c r="G438" s="12"/>
      <c r="H438" s="12"/>
      <c r="I438" s="13"/>
      <c r="J438" s="13"/>
      <c r="K438" s="15"/>
      <c r="L438" s="3"/>
      <c r="M438" s="6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</row>
    <row r="439" spans="1:37" ht="16.5" customHeight="1">
      <c r="A439" s="2"/>
      <c r="B439" s="11"/>
      <c r="C439" s="2"/>
      <c r="D439" s="3"/>
      <c r="E439" s="3"/>
      <c r="F439" s="2"/>
      <c r="G439" s="12"/>
      <c r="H439" s="12"/>
      <c r="I439" s="13"/>
      <c r="J439" s="13"/>
      <c r="K439" s="15"/>
      <c r="L439" s="3"/>
      <c r="M439" s="6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</row>
    <row r="440" spans="1:37" ht="16.5" customHeight="1">
      <c r="A440" s="2"/>
      <c r="B440" s="11"/>
      <c r="C440" s="2"/>
      <c r="D440" s="3"/>
      <c r="E440" s="3"/>
      <c r="F440" s="2"/>
      <c r="G440" s="12"/>
      <c r="H440" s="12"/>
      <c r="I440" s="13"/>
      <c r="J440" s="13"/>
      <c r="K440" s="15"/>
      <c r="L440" s="3"/>
      <c r="M440" s="6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</row>
    <row r="441" spans="1:37" ht="16.5" customHeight="1">
      <c r="A441" s="2"/>
      <c r="B441" s="11"/>
      <c r="C441" s="2"/>
      <c r="D441" s="3"/>
      <c r="E441" s="3"/>
      <c r="F441" s="2"/>
      <c r="G441" s="12"/>
      <c r="H441" s="12"/>
      <c r="I441" s="13"/>
      <c r="J441" s="13"/>
      <c r="K441" s="15"/>
      <c r="L441" s="3"/>
      <c r="M441" s="6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</row>
    <row r="442" spans="1:37" ht="16.5" customHeight="1">
      <c r="A442" s="2"/>
      <c r="B442" s="11"/>
      <c r="C442" s="2"/>
      <c r="D442" s="3"/>
      <c r="E442" s="3"/>
      <c r="F442" s="2"/>
      <c r="G442" s="12"/>
      <c r="H442" s="12"/>
      <c r="I442" s="13"/>
      <c r="J442" s="13"/>
      <c r="K442" s="15"/>
      <c r="L442" s="3"/>
      <c r="M442" s="6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</row>
    <row r="443" spans="1:37" ht="16.5" customHeight="1">
      <c r="A443" s="2"/>
      <c r="B443" s="11"/>
      <c r="C443" s="2"/>
      <c r="D443" s="3"/>
      <c r="E443" s="3"/>
      <c r="F443" s="2"/>
      <c r="G443" s="12"/>
      <c r="H443" s="12"/>
      <c r="I443" s="13"/>
      <c r="J443" s="13"/>
      <c r="K443" s="15"/>
      <c r="L443" s="3"/>
      <c r="M443" s="6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</row>
    <row r="444" spans="1:37" ht="16.5" customHeight="1">
      <c r="A444" s="2"/>
      <c r="B444" s="11"/>
      <c r="C444" s="2"/>
      <c r="D444" s="3"/>
      <c r="E444" s="3"/>
      <c r="F444" s="2"/>
      <c r="G444" s="12"/>
      <c r="H444" s="12"/>
      <c r="I444" s="13"/>
      <c r="J444" s="13"/>
      <c r="K444" s="15"/>
      <c r="L444" s="3"/>
      <c r="M444" s="6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</row>
    <row r="445" spans="1:37" ht="16.5" customHeight="1">
      <c r="A445" s="2"/>
      <c r="B445" s="11"/>
      <c r="C445" s="2"/>
      <c r="D445" s="3"/>
      <c r="E445" s="3"/>
      <c r="F445" s="2"/>
      <c r="G445" s="12"/>
      <c r="H445" s="12"/>
      <c r="I445" s="13"/>
      <c r="J445" s="13"/>
      <c r="K445" s="15"/>
      <c r="L445" s="3"/>
      <c r="M445" s="6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</row>
    <row r="446" spans="1:37" ht="16.5" customHeight="1">
      <c r="A446" s="2"/>
      <c r="B446" s="11"/>
      <c r="C446" s="2"/>
      <c r="D446" s="3"/>
      <c r="E446" s="3"/>
      <c r="F446" s="2"/>
      <c r="G446" s="12"/>
      <c r="H446" s="12"/>
      <c r="I446" s="13"/>
      <c r="J446" s="13"/>
      <c r="K446" s="15"/>
      <c r="L446" s="3"/>
      <c r="M446" s="6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</row>
    <row r="447" spans="1:37" ht="16.5" customHeight="1">
      <c r="A447" s="2"/>
      <c r="B447" s="11"/>
      <c r="C447" s="2"/>
      <c r="D447" s="3"/>
      <c r="E447" s="3"/>
      <c r="F447" s="2"/>
      <c r="G447" s="12"/>
      <c r="H447" s="12"/>
      <c r="I447" s="13"/>
      <c r="J447" s="13"/>
      <c r="K447" s="15"/>
      <c r="L447" s="3"/>
      <c r="M447" s="6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</row>
    <row r="448" spans="1:37" ht="16.5" customHeight="1">
      <c r="A448" s="2"/>
      <c r="B448" s="11"/>
      <c r="C448" s="2"/>
      <c r="D448" s="3"/>
      <c r="E448" s="3"/>
      <c r="F448" s="2"/>
      <c r="G448" s="12"/>
      <c r="H448" s="12"/>
      <c r="I448" s="13"/>
      <c r="J448" s="13"/>
      <c r="K448" s="15"/>
      <c r="L448" s="3"/>
      <c r="M448" s="6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</row>
    <row r="449" spans="1:37" ht="16.5" customHeight="1">
      <c r="A449" s="2"/>
      <c r="B449" s="11"/>
      <c r="C449" s="2"/>
      <c r="D449" s="3"/>
      <c r="E449" s="3"/>
      <c r="F449" s="2"/>
      <c r="G449" s="12"/>
      <c r="H449" s="12"/>
      <c r="I449" s="13"/>
      <c r="J449" s="13"/>
      <c r="K449" s="15"/>
      <c r="L449" s="3"/>
      <c r="M449" s="6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</row>
    <row r="450" spans="1:37" ht="16.5" customHeight="1">
      <c r="A450" s="2"/>
      <c r="B450" s="11"/>
      <c r="C450" s="2"/>
      <c r="D450" s="3"/>
      <c r="E450" s="3"/>
      <c r="F450" s="2"/>
      <c r="G450" s="12"/>
      <c r="H450" s="12"/>
      <c r="I450" s="13"/>
      <c r="J450" s="13"/>
      <c r="K450" s="15"/>
      <c r="L450" s="3"/>
      <c r="M450" s="6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</row>
    <row r="451" spans="1:37" ht="16.5" customHeight="1">
      <c r="A451" s="2"/>
      <c r="B451" s="11"/>
      <c r="C451" s="2"/>
      <c r="D451" s="3"/>
      <c r="E451" s="3"/>
      <c r="F451" s="2"/>
      <c r="G451" s="12"/>
      <c r="H451" s="12"/>
      <c r="I451" s="13"/>
      <c r="J451" s="13"/>
      <c r="K451" s="15"/>
      <c r="L451" s="3"/>
      <c r="M451" s="6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</row>
    <row r="452" spans="1:37" ht="16.5" customHeight="1">
      <c r="A452" s="2"/>
      <c r="B452" s="11"/>
      <c r="C452" s="2"/>
      <c r="D452" s="3"/>
      <c r="E452" s="3"/>
      <c r="F452" s="2"/>
      <c r="G452" s="12"/>
      <c r="H452" s="12"/>
      <c r="I452" s="13"/>
      <c r="J452" s="13"/>
      <c r="K452" s="15"/>
      <c r="L452" s="3"/>
      <c r="M452" s="6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</row>
    <row r="453" spans="1:37" ht="16.5" customHeight="1">
      <c r="A453" s="2"/>
      <c r="B453" s="11"/>
      <c r="C453" s="2"/>
      <c r="D453" s="3"/>
      <c r="E453" s="3"/>
      <c r="F453" s="2"/>
      <c r="G453" s="12"/>
      <c r="H453" s="12"/>
      <c r="I453" s="13"/>
      <c r="J453" s="13"/>
      <c r="K453" s="15"/>
      <c r="L453" s="3"/>
      <c r="M453" s="6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</row>
    <row r="454" spans="1:37" ht="16.5" customHeight="1">
      <c r="A454" s="2"/>
      <c r="B454" s="11"/>
      <c r="C454" s="2"/>
      <c r="D454" s="3"/>
      <c r="E454" s="3"/>
      <c r="F454" s="2"/>
      <c r="G454" s="12"/>
      <c r="H454" s="12"/>
      <c r="I454" s="13"/>
      <c r="J454" s="13"/>
      <c r="K454" s="15"/>
      <c r="L454" s="3"/>
      <c r="M454" s="6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</row>
    <row r="455" spans="1:37" ht="16.5" customHeight="1">
      <c r="A455" s="2"/>
      <c r="B455" s="11"/>
      <c r="C455" s="2"/>
      <c r="D455" s="3"/>
      <c r="E455" s="3"/>
      <c r="F455" s="2"/>
      <c r="G455" s="12"/>
      <c r="H455" s="12"/>
      <c r="I455" s="13"/>
      <c r="J455" s="13"/>
      <c r="K455" s="15"/>
      <c r="L455" s="3"/>
      <c r="M455" s="6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</row>
    <row r="456" spans="1:37" ht="16.5" customHeight="1">
      <c r="A456" s="2"/>
      <c r="B456" s="11"/>
      <c r="C456" s="2"/>
      <c r="D456" s="3"/>
      <c r="E456" s="3"/>
      <c r="F456" s="2"/>
      <c r="G456" s="12"/>
      <c r="H456" s="12"/>
      <c r="I456" s="13"/>
      <c r="J456" s="13"/>
      <c r="K456" s="15"/>
      <c r="L456" s="3"/>
      <c r="M456" s="6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</row>
    <row r="457" spans="1:37" ht="16.5" customHeight="1">
      <c r="A457" s="2"/>
      <c r="B457" s="11"/>
      <c r="C457" s="2"/>
      <c r="D457" s="3"/>
      <c r="E457" s="3"/>
      <c r="F457" s="2"/>
      <c r="G457" s="12"/>
      <c r="H457" s="12"/>
      <c r="I457" s="13"/>
      <c r="J457" s="13"/>
      <c r="K457" s="15"/>
      <c r="L457" s="3"/>
      <c r="M457" s="6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</row>
    <row r="458" spans="1:37" ht="16.5" customHeight="1">
      <c r="A458" s="2"/>
      <c r="B458" s="11"/>
      <c r="C458" s="2"/>
      <c r="D458" s="3"/>
      <c r="E458" s="3"/>
      <c r="F458" s="2"/>
      <c r="G458" s="12"/>
      <c r="H458" s="12"/>
      <c r="I458" s="13"/>
      <c r="J458" s="13"/>
      <c r="K458" s="15"/>
      <c r="L458" s="3"/>
      <c r="M458" s="6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</row>
    <row r="459" spans="1:37" ht="16.5" customHeight="1">
      <c r="A459" s="2"/>
      <c r="B459" s="11"/>
      <c r="C459" s="2"/>
      <c r="D459" s="3"/>
      <c r="E459" s="3"/>
      <c r="F459" s="2"/>
      <c r="G459" s="12"/>
      <c r="H459" s="12"/>
      <c r="I459" s="13"/>
      <c r="J459" s="13"/>
      <c r="K459" s="15"/>
      <c r="L459" s="3"/>
      <c r="M459" s="6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</row>
    <row r="460" spans="1:37" ht="16.5" customHeight="1">
      <c r="A460" s="2"/>
      <c r="B460" s="11"/>
      <c r="C460" s="2"/>
      <c r="D460" s="3"/>
      <c r="E460" s="3"/>
      <c r="F460" s="2"/>
      <c r="G460" s="12"/>
      <c r="H460" s="12"/>
      <c r="I460" s="13"/>
      <c r="J460" s="13"/>
      <c r="K460" s="15"/>
      <c r="L460" s="3"/>
      <c r="M460" s="6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</row>
    <row r="461" spans="1:37" ht="16.5" customHeight="1">
      <c r="A461" s="2"/>
      <c r="B461" s="11"/>
      <c r="C461" s="2"/>
      <c r="D461" s="3"/>
      <c r="E461" s="3"/>
      <c r="F461" s="2"/>
      <c r="G461" s="12"/>
      <c r="H461" s="12"/>
      <c r="I461" s="13"/>
      <c r="J461" s="13"/>
      <c r="K461" s="15"/>
      <c r="L461" s="3"/>
      <c r="M461" s="6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</row>
    <row r="462" spans="1:37" ht="16.5" customHeight="1">
      <c r="A462" s="2"/>
      <c r="B462" s="11"/>
      <c r="C462" s="2"/>
      <c r="D462" s="3"/>
      <c r="E462" s="3"/>
      <c r="F462" s="2"/>
      <c r="G462" s="12"/>
      <c r="H462" s="12"/>
      <c r="I462" s="13"/>
      <c r="J462" s="13"/>
      <c r="K462" s="15"/>
      <c r="L462" s="3"/>
      <c r="M462" s="6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</row>
    <row r="463" spans="1:37" ht="16.5" customHeight="1">
      <c r="A463" s="2"/>
      <c r="B463" s="11"/>
      <c r="C463" s="2"/>
      <c r="D463" s="3"/>
      <c r="E463" s="3"/>
      <c r="F463" s="2"/>
      <c r="G463" s="12"/>
      <c r="H463" s="12"/>
      <c r="I463" s="13"/>
      <c r="J463" s="13"/>
      <c r="K463" s="15"/>
      <c r="L463" s="3"/>
      <c r="M463" s="6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</row>
    <row r="464" spans="1:37" ht="16.5" customHeight="1">
      <c r="A464" s="2"/>
      <c r="B464" s="11"/>
      <c r="C464" s="2"/>
      <c r="D464" s="3"/>
      <c r="E464" s="3"/>
      <c r="F464" s="2"/>
      <c r="G464" s="12"/>
      <c r="H464" s="12"/>
      <c r="I464" s="13"/>
      <c r="J464" s="13"/>
      <c r="K464" s="15"/>
      <c r="L464" s="3"/>
      <c r="M464" s="6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</row>
    <row r="465" spans="1:37" ht="16.5" customHeight="1">
      <c r="A465" s="2"/>
      <c r="B465" s="11"/>
      <c r="C465" s="2"/>
      <c r="D465" s="3"/>
      <c r="E465" s="3"/>
      <c r="F465" s="2"/>
      <c r="G465" s="12"/>
      <c r="H465" s="12"/>
      <c r="I465" s="13"/>
      <c r="J465" s="13"/>
      <c r="K465" s="15"/>
      <c r="L465" s="3"/>
      <c r="M465" s="6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</row>
    <row r="466" spans="1:37" ht="16.5" customHeight="1">
      <c r="A466" s="2"/>
      <c r="B466" s="11"/>
      <c r="C466" s="2"/>
      <c r="D466" s="3"/>
      <c r="E466" s="3"/>
      <c r="F466" s="2"/>
      <c r="G466" s="12"/>
      <c r="H466" s="12"/>
      <c r="I466" s="13"/>
      <c r="J466" s="13"/>
      <c r="K466" s="15"/>
      <c r="L466" s="3"/>
      <c r="M466" s="6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</row>
    <row r="467" spans="1:37" ht="16.5" customHeight="1">
      <c r="A467" s="2"/>
      <c r="B467" s="11"/>
      <c r="C467" s="2"/>
      <c r="D467" s="3"/>
      <c r="E467" s="3"/>
      <c r="F467" s="2"/>
      <c r="G467" s="12"/>
      <c r="H467" s="12"/>
      <c r="I467" s="13"/>
      <c r="J467" s="13"/>
      <c r="K467" s="15"/>
      <c r="L467" s="3"/>
      <c r="M467" s="6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</row>
    <row r="468" spans="1:37" ht="16.5" customHeight="1">
      <c r="A468" s="2"/>
      <c r="B468" s="11"/>
      <c r="C468" s="2"/>
      <c r="D468" s="3"/>
      <c r="E468" s="3"/>
      <c r="F468" s="2"/>
      <c r="G468" s="12"/>
      <c r="H468" s="12"/>
      <c r="I468" s="13"/>
      <c r="J468" s="13"/>
      <c r="K468" s="15"/>
      <c r="L468" s="3"/>
      <c r="M468" s="6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</row>
    <row r="469" spans="1:37" ht="16.5" customHeight="1">
      <c r="A469" s="2"/>
      <c r="B469" s="11"/>
      <c r="C469" s="2"/>
      <c r="D469" s="3"/>
      <c r="E469" s="3"/>
      <c r="F469" s="2"/>
      <c r="G469" s="12"/>
      <c r="H469" s="12"/>
      <c r="I469" s="13"/>
      <c r="J469" s="13"/>
      <c r="K469" s="15"/>
      <c r="L469" s="3"/>
      <c r="M469" s="6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</row>
    <row r="470" spans="1:37" ht="16.5" customHeight="1">
      <c r="A470" s="2"/>
      <c r="B470" s="11"/>
      <c r="C470" s="2"/>
      <c r="D470" s="3"/>
      <c r="E470" s="3"/>
      <c r="F470" s="2"/>
      <c r="G470" s="12"/>
      <c r="H470" s="12"/>
      <c r="I470" s="13"/>
      <c r="J470" s="13"/>
      <c r="K470" s="15"/>
      <c r="L470" s="3"/>
      <c r="M470" s="6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</row>
    <row r="471" spans="1:37" ht="16.5" customHeight="1">
      <c r="A471" s="2"/>
      <c r="B471" s="11"/>
      <c r="C471" s="2"/>
      <c r="D471" s="3"/>
      <c r="E471" s="3"/>
      <c r="F471" s="2"/>
      <c r="G471" s="12"/>
      <c r="H471" s="12"/>
      <c r="I471" s="13"/>
      <c r="J471" s="13"/>
      <c r="K471" s="15"/>
      <c r="L471" s="3"/>
      <c r="M471" s="6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</row>
    <row r="472" spans="1:37" ht="16.5" customHeight="1">
      <c r="A472" s="2"/>
      <c r="B472" s="11"/>
      <c r="C472" s="2"/>
      <c r="D472" s="3"/>
      <c r="E472" s="3"/>
      <c r="F472" s="2"/>
      <c r="G472" s="12"/>
      <c r="H472" s="12"/>
      <c r="I472" s="13"/>
      <c r="J472" s="13"/>
      <c r="K472" s="15"/>
      <c r="L472" s="3"/>
      <c r="M472" s="6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</row>
    <row r="473" spans="1:37" ht="16.5" customHeight="1">
      <c r="A473" s="2"/>
      <c r="B473" s="11"/>
      <c r="C473" s="2"/>
      <c r="D473" s="3"/>
      <c r="E473" s="3"/>
      <c r="F473" s="2"/>
      <c r="G473" s="12"/>
      <c r="H473" s="12"/>
      <c r="I473" s="13"/>
      <c r="J473" s="13"/>
      <c r="K473" s="15"/>
      <c r="L473" s="3"/>
      <c r="M473" s="6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</row>
    <row r="474" spans="1:37" ht="16.5" customHeight="1">
      <c r="A474" s="2"/>
      <c r="B474" s="11"/>
      <c r="C474" s="2"/>
      <c r="D474" s="3"/>
      <c r="E474" s="3"/>
      <c r="F474" s="2"/>
      <c r="G474" s="12"/>
      <c r="H474" s="12"/>
      <c r="I474" s="13"/>
      <c r="J474" s="13"/>
      <c r="K474" s="15"/>
      <c r="L474" s="3"/>
      <c r="M474" s="6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</row>
    <row r="475" spans="1:37" ht="16.5" customHeight="1">
      <c r="A475" s="2"/>
      <c r="B475" s="11"/>
      <c r="C475" s="2"/>
      <c r="D475" s="3"/>
      <c r="E475" s="3"/>
      <c r="F475" s="2"/>
      <c r="G475" s="12"/>
      <c r="H475" s="12"/>
      <c r="I475" s="13"/>
      <c r="J475" s="13"/>
      <c r="K475" s="15"/>
      <c r="L475" s="3"/>
      <c r="M475" s="6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</row>
    <row r="476" spans="1:37" ht="16.5" customHeight="1">
      <c r="A476" s="2"/>
      <c r="B476" s="11"/>
      <c r="C476" s="2"/>
      <c r="D476" s="3"/>
      <c r="E476" s="3"/>
      <c r="F476" s="2"/>
      <c r="G476" s="12"/>
      <c r="H476" s="12"/>
      <c r="I476" s="13"/>
      <c r="J476" s="13"/>
      <c r="K476" s="15"/>
      <c r="L476" s="3"/>
      <c r="M476" s="6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</row>
    <row r="477" spans="1:37" ht="16.5" customHeight="1">
      <c r="A477" s="2"/>
      <c r="B477" s="11"/>
      <c r="C477" s="2"/>
      <c r="D477" s="3"/>
      <c r="E477" s="3"/>
      <c r="F477" s="2"/>
      <c r="G477" s="12"/>
      <c r="H477" s="12"/>
      <c r="I477" s="13"/>
      <c r="J477" s="13"/>
      <c r="K477" s="15"/>
      <c r="L477" s="3"/>
      <c r="M477" s="6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</row>
    <row r="478" spans="1:37" ht="16.5" customHeight="1">
      <c r="A478" s="2"/>
      <c r="B478" s="11"/>
      <c r="C478" s="2"/>
      <c r="D478" s="3"/>
      <c r="E478" s="3"/>
      <c r="F478" s="2"/>
      <c r="G478" s="12"/>
      <c r="H478" s="12"/>
      <c r="I478" s="13"/>
      <c r="J478" s="13"/>
      <c r="K478" s="15"/>
      <c r="L478" s="3"/>
      <c r="M478" s="6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</row>
    <row r="479" spans="1:37" ht="16.5" customHeight="1">
      <c r="A479" s="2"/>
      <c r="B479" s="11"/>
      <c r="C479" s="2"/>
      <c r="D479" s="3"/>
      <c r="E479" s="3"/>
      <c r="F479" s="2"/>
      <c r="G479" s="12"/>
      <c r="H479" s="12"/>
      <c r="I479" s="13"/>
      <c r="J479" s="13"/>
      <c r="K479" s="15"/>
      <c r="L479" s="3"/>
      <c r="M479" s="6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</row>
    <row r="480" spans="1:37" ht="16.5" customHeight="1">
      <c r="A480" s="2"/>
      <c r="B480" s="11"/>
      <c r="C480" s="2"/>
      <c r="D480" s="3"/>
      <c r="E480" s="3"/>
      <c r="F480" s="2"/>
      <c r="G480" s="12"/>
      <c r="H480" s="12"/>
      <c r="I480" s="13"/>
      <c r="J480" s="13"/>
      <c r="K480" s="15"/>
      <c r="L480" s="3"/>
      <c r="M480" s="6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</row>
    <row r="481" spans="1:37" ht="16.5" customHeight="1">
      <c r="A481" s="2"/>
      <c r="B481" s="11"/>
      <c r="C481" s="2"/>
      <c r="D481" s="3"/>
      <c r="E481" s="3"/>
      <c r="F481" s="2"/>
      <c r="G481" s="12"/>
      <c r="H481" s="12"/>
      <c r="I481" s="13"/>
      <c r="J481" s="13"/>
      <c r="K481" s="15"/>
      <c r="L481" s="3"/>
      <c r="M481" s="6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</row>
    <row r="482" spans="1:37" ht="16.5" customHeight="1">
      <c r="A482" s="2"/>
      <c r="B482" s="11"/>
      <c r="C482" s="2"/>
      <c r="D482" s="3"/>
      <c r="E482" s="3"/>
      <c r="F482" s="2"/>
      <c r="G482" s="12"/>
      <c r="H482" s="12"/>
      <c r="I482" s="13"/>
      <c r="J482" s="13"/>
      <c r="K482" s="15"/>
      <c r="L482" s="3"/>
      <c r="M482" s="6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</row>
    <row r="483" spans="1:37" ht="16.5" customHeight="1">
      <c r="A483" s="2"/>
      <c r="B483" s="11"/>
      <c r="C483" s="2"/>
      <c r="D483" s="3"/>
      <c r="E483" s="3"/>
      <c r="F483" s="2"/>
      <c r="G483" s="12"/>
      <c r="H483" s="12"/>
      <c r="I483" s="13"/>
      <c r="J483" s="13"/>
      <c r="K483" s="15"/>
      <c r="L483" s="3"/>
      <c r="M483" s="6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</row>
    <row r="484" spans="1:37" ht="16.5" customHeight="1">
      <c r="A484" s="2"/>
      <c r="B484" s="11"/>
      <c r="C484" s="2"/>
      <c r="D484" s="3"/>
      <c r="E484" s="3"/>
      <c r="F484" s="2"/>
      <c r="G484" s="12"/>
      <c r="H484" s="12"/>
      <c r="I484" s="13"/>
      <c r="J484" s="13"/>
      <c r="K484" s="15"/>
      <c r="L484" s="3"/>
      <c r="M484" s="6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</row>
    <row r="485" spans="1:37" ht="16.5" customHeight="1">
      <c r="A485" s="2"/>
      <c r="B485" s="11"/>
      <c r="C485" s="2"/>
      <c r="D485" s="3"/>
      <c r="E485" s="3"/>
      <c r="F485" s="2"/>
      <c r="G485" s="12"/>
      <c r="H485" s="12"/>
      <c r="I485" s="13"/>
      <c r="J485" s="13"/>
      <c r="K485" s="15"/>
      <c r="L485" s="3"/>
      <c r="M485" s="6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</row>
    <row r="486" spans="1:37" ht="16.5" customHeight="1">
      <c r="A486" s="2"/>
      <c r="B486" s="11"/>
      <c r="C486" s="2"/>
      <c r="D486" s="3"/>
      <c r="E486" s="3"/>
      <c r="F486" s="2"/>
      <c r="G486" s="12"/>
      <c r="H486" s="12"/>
      <c r="I486" s="13"/>
      <c r="J486" s="13"/>
      <c r="K486" s="15"/>
      <c r="L486" s="3"/>
      <c r="M486" s="6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</row>
    <row r="487" spans="1:37" ht="16.5" customHeight="1">
      <c r="A487" s="2"/>
      <c r="B487" s="11"/>
      <c r="C487" s="2"/>
      <c r="D487" s="3"/>
      <c r="E487" s="3"/>
      <c r="F487" s="2"/>
      <c r="G487" s="12"/>
      <c r="H487" s="12"/>
      <c r="I487" s="13"/>
      <c r="J487" s="13"/>
      <c r="K487" s="15"/>
      <c r="L487" s="3"/>
      <c r="M487" s="6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</row>
    <row r="488" spans="1:37" ht="16.5" customHeight="1">
      <c r="A488" s="2"/>
      <c r="B488" s="11"/>
      <c r="C488" s="2"/>
      <c r="D488" s="3"/>
      <c r="E488" s="3"/>
      <c r="F488" s="2"/>
      <c r="G488" s="12"/>
      <c r="H488" s="12"/>
      <c r="I488" s="13"/>
      <c r="J488" s="13"/>
      <c r="K488" s="15"/>
      <c r="L488" s="3"/>
      <c r="M488" s="6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</row>
    <row r="489" spans="1:37" ht="16.5" customHeight="1">
      <c r="A489" s="2"/>
      <c r="B489" s="11"/>
      <c r="C489" s="2"/>
      <c r="D489" s="3"/>
      <c r="E489" s="3"/>
      <c r="F489" s="2"/>
      <c r="G489" s="12"/>
      <c r="H489" s="12"/>
      <c r="I489" s="13"/>
      <c r="J489" s="13"/>
      <c r="K489" s="15"/>
      <c r="L489" s="3"/>
      <c r="M489" s="6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</row>
    <row r="490" spans="1:37" ht="16.5" customHeight="1">
      <c r="A490" s="2"/>
      <c r="B490" s="11"/>
      <c r="C490" s="2"/>
      <c r="D490" s="3"/>
      <c r="E490" s="3"/>
      <c r="F490" s="2"/>
      <c r="G490" s="12"/>
      <c r="H490" s="12"/>
      <c r="I490" s="13"/>
      <c r="J490" s="13"/>
      <c r="K490" s="15"/>
      <c r="L490" s="3"/>
      <c r="M490" s="6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</row>
    <row r="491" spans="1:37" ht="16.5" customHeight="1">
      <c r="A491" s="2"/>
      <c r="B491" s="11"/>
      <c r="C491" s="2"/>
      <c r="D491" s="3"/>
      <c r="E491" s="3"/>
      <c r="F491" s="2"/>
      <c r="G491" s="12"/>
      <c r="H491" s="12"/>
      <c r="I491" s="13"/>
      <c r="J491" s="13"/>
      <c r="K491" s="15"/>
      <c r="L491" s="3"/>
      <c r="M491" s="6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</row>
    <row r="492" spans="1:37" ht="16.5" customHeight="1">
      <c r="A492" s="2"/>
      <c r="B492" s="11"/>
      <c r="C492" s="2"/>
      <c r="D492" s="3"/>
      <c r="E492" s="3"/>
      <c r="F492" s="2"/>
      <c r="G492" s="12"/>
      <c r="H492" s="12"/>
      <c r="I492" s="13"/>
      <c r="J492" s="13"/>
      <c r="K492" s="15"/>
      <c r="L492" s="3"/>
      <c r="M492" s="6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</row>
    <row r="493" spans="1:37" ht="16.5" customHeight="1">
      <c r="A493" s="2"/>
      <c r="B493" s="11"/>
      <c r="C493" s="2"/>
      <c r="D493" s="3"/>
      <c r="E493" s="3"/>
      <c r="F493" s="2"/>
      <c r="G493" s="12"/>
      <c r="H493" s="12"/>
      <c r="I493" s="13"/>
      <c r="J493" s="13"/>
      <c r="K493" s="15"/>
      <c r="L493" s="3"/>
      <c r="M493" s="6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</row>
    <row r="494" spans="1:37" ht="16.5" customHeight="1">
      <c r="A494" s="2"/>
      <c r="B494" s="11"/>
      <c r="C494" s="2"/>
      <c r="D494" s="3"/>
      <c r="E494" s="3"/>
      <c r="F494" s="2"/>
      <c r="G494" s="12"/>
      <c r="H494" s="12"/>
      <c r="I494" s="13"/>
      <c r="J494" s="13"/>
      <c r="K494" s="15"/>
      <c r="L494" s="3"/>
      <c r="M494" s="6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</row>
    <row r="495" spans="1:37" ht="16.5" customHeight="1">
      <c r="A495" s="2"/>
      <c r="B495" s="11"/>
      <c r="C495" s="2"/>
      <c r="D495" s="3"/>
      <c r="E495" s="3"/>
      <c r="F495" s="2"/>
      <c r="G495" s="12"/>
      <c r="H495" s="12"/>
      <c r="I495" s="13"/>
      <c r="J495" s="13"/>
      <c r="K495" s="15"/>
      <c r="L495" s="3"/>
      <c r="M495" s="6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</row>
    <row r="496" spans="1:37" ht="16.5" customHeight="1">
      <c r="A496" s="2"/>
      <c r="B496" s="11"/>
      <c r="C496" s="2"/>
      <c r="D496" s="3"/>
      <c r="E496" s="3"/>
      <c r="F496" s="2"/>
      <c r="G496" s="12"/>
      <c r="H496" s="12"/>
      <c r="I496" s="13"/>
      <c r="J496" s="13"/>
      <c r="K496" s="15"/>
      <c r="L496" s="3"/>
      <c r="M496" s="6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</row>
    <row r="497" spans="1:37" ht="16.5" customHeight="1">
      <c r="A497" s="2"/>
      <c r="B497" s="11"/>
      <c r="C497" s="2"/>
      <c r="D497" s="3"/>
      <c r="E497" s="3"/>
      <c r="F497" s="2"/>
      <c r="G497" s="12"/>
      <c r="H497" s="12"/>
      <c r="I497" s="13"/>
      <c r="J497" s="13"/>
      <c r="K497" s="15"/>
      <c r="L497" s="3"/>
      <c r="M497" s="6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</row>
    <row r="498" spans="1:37" ht="16.5" customHeight="1">
      <c r="A498" s="2"/>
      <c r="B498" s="11"/>
      <c r="C498" s="2"/>
      <c r="D498" s="3"/>
      <c r="E498" s="3"/>
      <c r="F498" s="2"/>
      <c r="G498" s="12"/>
      <c r="H498" s="12"/>
      <c r="I498" s="13"/>
      <c r="J498" s="13"/>
      <c r="K498" s="15"/>
      <c r="L498" s="3"/>
      <c r="M498" s="6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</row>
    <row r="499" spans="1:37" ht="16.5" customHeight="1">
      <c r="A499" s="2"/>
      <c r="B499" s="11"/>
      <c r="C499" s="2"/>
      <c r="D499" s="3"/>
      <c r="E499" s="3"/>
      <c r="F499" s="2"/>
      <c r="G499" s="12"/>
      <c r="H499" s="12"/>
      <c r="I499" s="13"/>
      <c r="J499" s="13"/>
      <c r="K499" s="15"/>
      <c r="L499" s="3"/>
      <c r="M499" s="6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</row>
    <row r="500" spans="1:37" ht="16.5" customHeight="1">
      <c r="A500" s="2"/>
      <c r="B500" s="11"/>
      <c r="C500" s="2"/>
      <c r="D500" s="3"/>
      <c r="E500" s="3"/>
      <c r="F500" s="2"/>
      <c r="G500" s="12"/>
      <c r="H500" s="12"/>
      <c r="I500" s="13"/>
      <c r="J500" s="13"/>
      <c r="K500" s="15"/>
      <c r="L500" s="3"/>
      <c r="M500" s="6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</row>
    <row r="501" spans="1:37" ht="16.5" customHeight="1">
      <c r="A501" s="2"/>
      <c r="B501" s="11"/>
      <c r="C501" s="2"/>
      <c r="D501" s="3"/>
      <c r="E501" s="3"/>
      <c r="F501" s="2"/>
      <c r="G501" s="12"/>
      <c r="H501" s="12"/>
      <c r="I501" s="13"/>
      <c r="J501" s="13"/>
      <c r="K501" s="15"/>
      <c r="L501" s="3"/>
      <c r="M501" s="6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</row>
    <row r="502" spans="1:37" ht="16.5" customHeight="1">
      <c r="A502" s="2"/>
      <c r="B502" s="11"/>
      <c r="C502" s="2"/>
      <c r="D502" s="3"/>
      <c r="E502" s="3"/>
      <c r="F502" s="2"/>
      <c r="G502" s="12"/>
      <c r="H502" s="12"/>
      <c r="I502" s="13"/>
      <c r="J502" s="13"/>
      <c r="K502" s="15"/>
      <c r="L502" s="3"/>
      <c r="M502" s="6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</row>
    <row r="503" spans="1:37" ht="16.5" customHeight="1">
      <c r="A503" s="2"/>
      <c r="B503" s="11"/>
      <c r="C503" s="2"/>
      <c r="D503" s="3"/>
      <c r="E503" s="3"/>
      <c r="F503" s="2"/>
      <c r="G503" s="12"/>
      <c r="H503" s="12"/>
      <c r="I503" s="13"/>
      <c r="J503" s="13"/>
      <c r="K503" s="15"/>
      <c r="L503" s="3"/>
      <c r="M503" s="6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</row>
    <row r="504" spans="1:37" ht="16.5" customHeight="1">
      <c r="A504" s="2"/>
      <c r="B504" s="11"/>
      <c r="C504" s="2"/>
      <c r="D504" s="3"/>
      <c r="E504" s="3"/>
      <c r="F504" s="2"/>
      <c r="G504" s="12"/>
      <c r="H504" s="12"/>
      <c r="I504" s="13"/>
      <c r="J504" s="13"/>
      <c r="K504" s="15"/>
      <c r="L504" s="3"/>
      <c r="M504" s="6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</row>
    <row r="505" spans="1:37" ht="16.5" customHeight="1">
      <c r="A505" s="2"/>
      <c r="B505" s="11"/>
      <c r="C505" s="2"/>
      <c r="D505" s="3"/>
      <c r="E505" s="3"/>
      <c r="F505" s="2"/>
      <c r="G505" s="12"/>
      <c r="H505" s="12"/>
      <c r="I505" s="13"/>
      <c r="J505" s="13"/>
      <c r="K505" s="15"/>
      <c r="L505" s="3"/>
      <c r="M505" s="6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</row>
    <row r="506" spans="1:37" ht="16.5" customHeight="1">
      <c r="A506" s="2"/>
      <c r="B506" s="11"/>
      <c r="C506" s="2"/>
      <c r="D506" s="3"/>
      <c r="E506" s="3"/>
      <c r="F506" s="2"/>
      <c r="G506" s="12"/>
      <c r="H506" s="12"/>
      <c r="I506" s="13"/>
      <c r="J506" s="13"/>
      <c r="K506" s="15"/>
      <c r="L506" s="3"/>
      <c r="M506" s="6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</row>
    <row r="507" spans="1:37" ht="16.5" customHeight="1">
      <c r="A507" s="2"/>
      <c r="B507" s="11"/>
      <c r="C507" s="2"/>
      <c r="D507" s="3"/>
      <c r="E507" s="3"/>
      <c r="F507" s="2"/>
      <c r="G507" s="12"/>
      <c r="H507" s="12"/>
      <c r="I507" s="13"/>
      <c r="J507" s="13"/>
      <c r="K507" s="15"/>
      <c r="L507" s="3"/>
      <c r="M507" s="6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</row>
    <row r="508" spans="1:37" ht="16.5" customHeight="1">
      <c r="A508" s="2"/>
      <c r="B508" s="11"/>
      <c r="C508" s="2"/>
      <c r="D508" s="3"/>
      <c r="E508" s="3"/>
      <c r="F508" s="2"/>
      <c r="G508" s="12"/>
      <c r="H508" s="12"/>
      <c r="I508" s="13"/>
      <c r="J508" s="13"/>
      <c r="K508" s="15"/>
      <c r="L508" s="3"/>
      <c r="M508" s="6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</row>
    <row r="509" spans="1:37" ht="16.5" customHeight="1">
      <c r="A509" s="2"/>
      <c r="B509" s="11"/>
      <c r="C509" s="2"/>
      <c r="D509" s="3"/>
      <c r="E509" s="3"/>
      <c r="F509" s="2"/>
      <c r="G509" s="12"/>
      <c r="H509" s="12"/>
      <c r="I509" s="13"/>
      <c r="J509" s="13"/>
      <c r="K509" s="15"/>
      <c r="L509" s="3"/>
      <c r="M509" s="6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</row>
    <row r="510" spans="1:37" ht="16.5" customHeight="1">
      <c r="A510" s="2"/>
      <c r="B510" s="11"/>
      <c r="C510" s="2"/>
      <c r="D510" s="3"/>
      <c r="E510" s="3"/>
      <c r="F510" s="2"/>
      <c r="G510" s="12"/>
      <c r="H510" s="12"/>
      <c r="I510" s="13"/>
      <c r="J510" s="13"/>
      <c r="K510" s="15"/>
      <c r="L510" s="3"/>
      <c r="M510" s="6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</row>
    <row r="511" spans="1:37" ht="16.5" customHeight="1">
      <c r="A511" s="2"/>
      <c r="B511" s="11"/>
      <c r="C511" s="2"/>
      <c r="D511" s="3"/>
      <c r="E511" s="3"/>
      <c r="F511" s="2"/>
      <c r="G511" s="12"/>
      <c r="H511" s="12"/>
      <c r="I511" s="13"/>
      <c r="J511" s="13"/>
      <c r="K511" s="15"/>
      <c r="L511" s="3"/>
      <c r="M511" s="6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</row>
    <row r="512" spans="1:37" ht="16.5" customHeight="1">
      <c r="A512" s="2"/>
      <c r="B512" s="11"/>
      <c r="C512" s="2"/>
      <c r="D512" s="3"/>
      <c r="E512" s="3"/>
      <c r="F512" s="2"/>
      <c r="G512" s="12"/>
      <c r="H512" s="12"/>
      <c r="I512" s="13"/>
      <c r="J512" s="13"/>
      <c r="K512" s="15"/>
      <c r="L512" s="3"/>
      <c r="M512" s="6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</row>
    <row r="513" spans="1:37" ht="16.5" customHeight="1">
      <c r="A513" s="2"/>
      <c r="B513" s="11"/>
      <c r="C513" s="2"/>
      <c r="D513" s="3"/>
      <c r="E513" s="3"/>
      <c r="F513" s="2"/>
      <c r="G513" s="12"/>
      <c r="H513" s="12"/>
      <c r="I513" s="13"/>
      <c r="J513" s="13"/>
      <c r="K513" s="15"/>
      <c r="L513" s="3"/>
      <c r="M513" s="6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</row>
    <row r="514" spans="1:37" ht="16.5" customHeight="1">
      <c r="A514" s="2"/>
      <c r="B514" s="11"/>
      <c r="C514" s="2"/>
      <c r="D514" s="3"/>
      <c r="E514" s="3"/>
      <c r="F514" s="2"/>
      <c r="G514" s="12"/>
      <c r="H514" s="12"/>
      <c r="I514" s="13"/>
      <c r="J514" s="13"/>
      <c r="K514" s="15"/>
      <c r="L514" s="3"/>
      <c r="M514" s="6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</row>
    <row r="515" spans="1:37" ht="16.5" customHeight="1">
      <c r="A515" s="2"/>
      <c r="B515" s="11"/>
      <c r="C515" s="2"/>
      <c r="D515" s="3"/>
      <c r="E515" s="3"/>
      <c r="F515" s="2"/>
      <c r="G515" s="12"/>
      <c r="H515" s="12"/>
      <c r="I515" s="13"/>
      <c r="J515" s="13"/>
      <c r="K515" s="15"/>
      <c r="L515" s="3"/>
      <c r="M515" s="6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</row>
    <row r="516" spans="1:37" ht="16.5" customHeight="1">
      <c r="A516" s="2"/>
      <c r="B516" s="11"/>
      <c r="C516" s="2"/>
      <c r="D516" s="3"/>
      <c r="E516" s="3"/>
      <c r="F516" s="2"/>
      <c r="G516" s="12"/>
      <c r="H516" s="12"/>
      <c r="I516" s="13"/>
      <c r="J516" s="13"/>
      <c r="K516" s="15"/>
      <c r="L516" s="3"/>
      <c r="M516" s="6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</row>
    <row r="517" spans="1:37" ht="16.5" customHeight="1">
      <c r="A517" s="2"/>
      <c r="B517" s="11"/>
      <c r="C517" s="2"/>
      <c r="D517" s="3"/>
      <c r="E517" s="3"/>
      <c r="F517" s="2"/>
      <c r="G517" s="12"/>
      <c r="H517" s="12"/>
      <c r="I517" s="13"/>
      <c r="J517" s="13"/>
      <c r="K517" s="15"/>
      <c r="L517" s="3"/>
      <c r="M517" s="6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</row>
    <row r="518" spans="1:37" ht="16.5" customHeight="1">
      <c r="A518" s="2"/>
      <c r="B518" s="11"/>
      <c r="C518" s="2"/>
      <c r="D518" s="3"/>
      <c r="E518" s="3"/>
      <c r="F518" s="2"/>
      <c r="G518" s="12"/>
      <c r="H518" s="12"/>
      <c r="I518" s="13"/>
      <c r="J518" s="13"/>
      <c r="K518" s="15"/>
      <c r="L518" s="3"/>
      <c r="M518" s="6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</row>
    <row r="519" spans="1:37" ht="16.5" customHeight="1">
      <c r="A519" s="2"/>
      <c r="B519" s="11"/>
      <c r="C519" s="2"/>
      <c r="D519" s="3"/>
      <c r="E519" s="3"/>
      <c r="F519" s="2"/>
      <c r="G519" s="12"/>
      <c r="H519" s="12"/>
      <c r="I519" s="13"/>
      <c r="J519" s="13"/>
      <c r="K519" s="15"/>
      <c r="L519" s="3"/>
      <c r="M519" s="6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</row>
    <row r="520" spans="1:37" ht="16.5" customHeight="1">
      <c r="A520" s="2"/>
      <c r="B520" s="11"/>
      <c r="C520" s="2"/>
      <c r="D520" s="3"/>
      <c r="E520" s="3"/>
      <c r="F520" s="2"/>
      <c r="G520" s="12"/>
      <c r="H520" s="12"/>
      <c r="I520" s="13"/>
      <c r="J520" s="13"/>
      <c r="K520" s="15"/>
      <c r="L520" s="3"/>
      <c r="M520" s="6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</row>
    <row r="521" spans="1:37" ht="16.5" customHeight="1">
      <c r="A521" s="2"/>
      <c r="B521" s="11"/>
      <c r="C521" s="2"/>
      <c r="D521" s="3"/>
      <c r="E521" s="3"/>
      <c r="F521" s="2"/>
      <c r="G521" s="12"/>
      <c r="H521" s="12"/>
      <c r="I521" s="13"/>
      <c r="J521" s="13"/>
      <c r="K521" s="15"/>
      <c r="L521" s="3"/>
      <c r="M521" s="6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</row>
    <row r="522" spans="1:37" ht="16.5" customHeight="1">
      <c r="A522" s="2"/>
      <c r="B522" s="11"/>
      <c r="C522" s="2"/>
      <c r="D522" s="3"/>
      <c r="E522" s="3"/>
      <c r="F522" s="2"/>
      <c r="G522" s="12"/>
      <c r="H522" s="12"/>
      <c r="I522" s="13"/>
      <c r="J522" s="13"/>
      <c r="K522" s="15"/>
      <c r="L522" s="3"/>
      <c r="M522" s="6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</row>
    <row r="523" spans="1:37" ht="16.5" customHeight="1">
      <c r="A523" s="2"/>
      <c r="B523" s="11"/>
      <c r="C523" s="2"/>
      <c r="D523" s="3"/>
      <c r="E523" s="3"/>
      <c r="F523" s="2"/>
      <c r="G523" s="12"/>
      <c r="H523" s="12"/>
      <c r="I523" s="13"/>
      <c r="J523" s="13"/>
      <c r="K523" s="15"/>
      <c r="L523" s="3"/>
      <c r="M523" s="6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</row>
    <row r="524" spans="1:37" ht="16.5" customHeight="1">
      <c r="A524" s="2"/>
      <c r="B524" s="11"/>
      <c r="C524" s="2"/>
      <c r="D524" s="3"/>
      <c r="E524" s="3"/>
      <c r="F524" s="2"/>
      <c r="G524" s="12"/>
      <c r="H524" s="12"/>
      <c r="I524" s="13"/>
      <c r="J524" s="13"/>
      <c r="K524" s="15"/>
      <c r="L524" s="3"/>
      <c r="M524" s="6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</row>
    <row r="525" spans="1:37" ht="16.5" customHeight="1">
      <c r="A525" s="2"/>
      <c r="B525" s="11"/>
      <c r="C525" s="2"/>
      <c r="D525" s="3"/>
      <c r="E525" s="3"/>
      <c r="F525" s="2"/>
      <c r="G525" s="12"/>
      <c r="H525" s="12"/>
      <c r="I525" s="13"/>
      <c r="J525" s="13"/>
      <c r="K525" s="15"/>
      <c r="L525" s="3"/>
      <c r="M525" s="6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</row>
    <row r="526" spans="1:37" ht="16.5" customHeight="1">
      <c r="A526" s="2"/>
      <c r="B526" s="11"/>
      <c r="C526" s="2"/>
      <c r="D526" s="3"/>
      <c r="E526" s="3"/>
      <c r="F526" s="2"/>
      <c r="G526" s="12"/>
      <c r="H526" s="12"/>
      <c r="I526" s="13"/>
      <c r="J526" s="13"/>
      <c r="K526" s="15"/>
      <c r="L526" s="3"/>
      <c r="M526" s="6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</row>
    <row r="527" spans="1:37" ht="16.5" customHeight="1">
      <c r="A527" s="2"/>
      <c r="B527" s="11"/>
      <c r="C527" s="2"/>
      <c r="D527" s="3"/>
      <c r="E527" s="3"/>
      <c r="F527" s="2"/>
      <c r="G527" s="12"/>
      <c r="H527" s="12"/>
      <c r="I527" s="13"/>
      <c r="J527" s="13"/>
      <c r="K527" s="15"/>
      <c r="L527" s="3"/>
      <c r="M527" s="6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</row>
    <row r="528" spans="1:37" ht="16.5" customHeight="1">
      <c r="A528" s="2"/>
      <c r="B528" s="11"/>
      <c r="C528" s="2"/>
      <c r="D528" s="3"/>
      <c r="E528" s="3"/>
      <c r="F528" s="2"/>
      <c r="G528" s="12"/>
      <c r="H528" s="12"/>
      <c r="I528" s="13"/>
      <c r="J528" s="13"/>
      <c r="K528" s="15"/>
      <c r="L528" s="3"/>
      <c r="M528" s="6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</row>
    <row r="529" spans="1:37" ht="16.5" customHeight="1">
      <c r="A529" s="2"/>
      <c r="B529" s="11"/>
      <c r="C529" s="2"/>
      <c r="D529" s="3"/>
      <c r="E529" s="3"/>
      <c r="F529" s="2"/>
      <c r="G529" s="12"/>
      <c r="H529" s="12"/>
      <c r="I529" s="13"/>
      <c r="J529" s="13"/>
      <c r="K529" s="15"/>
      <c r="L529" s="3"/>
      <c r="M529" s="6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</row>
    <row r="530" spans="1:37" ht="16.5" customHeight="1">
      <c r="A530" s="2"/>
      <c r="B530" s="11"/>
      <c r="C530" s="2"/>
      <c r="D530" s="3"/>
      <c r="E530" s="3"/>
      <c r="F530" s="2"/>
      <c r="G530" s="12"/>
      <c r="H530" s="12"/>
      <c r="I530" s="13"/>
      <c r="J530" s="13"/>
      <c r="K530" s="15"/>
      <c r="L530" s="3"/>
      <c r="M530" s="6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</row>
    <row r="531" spans="1:37" ht="16.5" customHeight="1">
      <c r="A531" s="2"/>
      <c r="B531" s="11"/>
      <c r="C531" s="2"/>
      <c r="D531" s="3"/>
      <c r="E531" s="3"/>
      <c r="F531" s="2"/>
      <c r="G531" s="12"/>
      <c r="H531" s="12"/>
      <c r="I531" s="13"/>
      <c r="J531" s="13"/>
      <c r="K531" s="15"/>
      <c r="L531" s="3"/>
      <c r="M531" s="6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</row>
    <row r="532" spans="1:37" ht="16.5" customHeight="1">
      <c r="A532" s="2"/>
      <c r="B532" s="11"/>
      <c r="C532" s="2"/>
      <c r="D532" s="3"/>
      <c r="E532" s="3"/>
      <c r="F532" s="2"/>
      <c r="G532" s="12"/>
      <c r="H532" s="12"/>
      <c r="I532" s="13"/>
      <c r="J532" s="13"/>
      <c r="K532" s="15"/>
      <c r="L532" s="3"/>
      <c r="M532" s="6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</row>
    <row r="533" spans="1:37" ht="16.5" customHeight="1">
      <c r="A533" s="2"/>
      <c r="B533" s="11"/>
      <c r="C533" s="2"/>
      <c r="D533" s="3"/>
      <c r="E533" s="3"/>
      <c r="F533" s="2"/>
      <c r="G533" s="12"/>
      <c r="H533" s="12"/>
      <c r="I533" s="13"/>
      <c r="J533" s="13"/>
      <c r="K533" s="15"/>
      <c r="L533" s="3"/>
      <c r="M533" s="6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</row>
    <row r="534" spans="1:37" ht="16.5" customHeight="1">
      <c r="A534" s="2"/>
      <c r="B534" s="11"/>
      <c r="C534" s="2"/>
      <c r="D534" s="3"/>
      <c r="E534" s="3"/>
      <c r="F534" s="2"/>
      <c r="G534" s="12"/>
      <c r="H534" s="12"/>
      <c r="I534" s="13"/>
      <c r="J534" s="13"/>
      <c r="K534" s="15"/>
      <c r="L534" s="3"/>
      <c r="M534" s="6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</row>
    <row r="535" spans="1:37" ht="16.5" customHeight="1">
      <c r="A535" s="2"/>
      <c r="B535" s="11"/>
      <c r="C535" s="2"/>
      <c r="D535" s="3"/>
      <c r="E535" s="3"/>
      <c r="F535" s="2"/>
      <c r="G535" s="12"/>
      <c r="H535" s="12"/>
      <c r="I535" s="13"/>
      <c r="J535" s="13"/>
      <c r="K535" s="15"/>
      <c r="L535" s="3"/>
      <c r="M535" s="6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</row>
    <row r="536" spans="1:37" ht="16.5" customHeight="1">
      <c r="A536" s="2"/>
      <c r="B536" s="11"/>
      <c r="C536" s="2"/>
      <c r="D536" s="3"/>
      <c r="E536" s="3"/>
      <c r="F536" s="2"/>
      <c r="G536" s="12"/>
      <c r="H536" s="12"/>
      <c r="I536" s="13"/>
      <c r="J536" s="13"/>
      <c r="K536" s="15"/>
      <c r="L536" s="3"/>
      <c r="M536" s="6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</row>
    <row r="537" spans="1:37" ht="16.5" customHeight="1">
      <c r="A537" s="2"/>
      <c r="B537" s="11"/>
      <c r="C537" s="2"/>
      <c r="D537" s="3"/>
      <c r="E537" s="3"/>
      <c r="F537" s="2"/>
      <c r="G537" s="12"/>
      <c r="H537" s="12"/>
      <c r="I537" s="13"/>
      <c r="J537" s="13"/>
      <c r="K537" s="15"/>
      <c r="L537" s="3"/>
      <c r="M537" s="6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</row>
    <row r="538" spans="1:37" ht="16.5" customHeight="1">
      <c r="A538" s="2"/>
      <c r="B538" s="11"/>
      <c r="C538" s="2"/>
      <c r="D538" s="3"/>
      <c r="E538" s="3"/>
      <c r="F538" s="2"/>
      <c r="G538" s="12"/>
      <c r="H538" s="12"/>
      <c r="I538" s="13"/>
      <c r="J538" s="13"/>
      <c r="K538" s="15"/>
      <c r="L538" s="3"/>
      <c r="M538" s="6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</row>
    <row r="539" spans="1:37" ht="16.5" customHeight="1">
      <c r="A539" s="2"/>
      <c r="B539" s="11"/>
      <c r="C539" s="2"/>
      <c r="D539" s="3"/>
      <c r="E539" s="3"/>
      <c r="F539" s="2"/>
      <c r="G539" s="12"/>
      <c r="H539" s="12"/>
      <c r="I539" s="13"/>
      <c r="J539" s="13"/>
      <c r="K539" s="15"/>
      <c r="L539" s="3"/>
      <c r="M539" s="6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</row>
    <row r="540" spans="1:37" ht="16.5" customHeight="1">
      <c r="A540" s="2"/>
      <c r="B540" s="11"/>
      <c r="C540" s="2"/>
      <c r="D540" s="3"/>
      <c r="E540" s="3"/>
      <c r="F540" s="2"/>
      <c r="G540" s="12"/>
      <c r="H540" s="12"/>
      <c r="I540" s="13"/>
      <c r="J540" s="13"/>
      <c r="K540" s="15"/>
      <c r="L540" s="3"/>
      <c r="M540" s="6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</row>
    <row r="541" spans="1:37" ht="16.5" customHeight="1">
      <c r="A541" s="2"/>
      <c r="B541" s="11"/>
      <c r="C541" s="2"/>
      <c r="D541" s="3"/>
      <c r="E541" s="3"/>
      <c r="F541" s="2"/>
      <c r="G541" s="12"/>
      <c r="H541" s="12"/>
      <c r="I541" s="13"/>
      <c r="J541" s="13"/>
      <c r="K541" s="15"/>
      <c r="L541" s="3"/>
      <c r="M541" s="6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</row>
    <row r="542" spans="1:37" ht="16.5" customHeight="1">
      <c r="A542" s="2"/>
      <c r="B542" s="11"/>
      <c r="C542" s="2"/>
      <c r="D542" s="3"/>
      <c r="E542" s="3"/>
      <c r="F542" s="2"/>
      <c r="G542" s="12"/>
      <c r="H542" s="12"/>
      <c r="I542" s="13"/>
      <c r="J542" s="13"/>
      <c r="K542" s="15"/>
      <c r="L542" s="3"/>
      <c r="M542" s="6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</row>
    <row r="543" spans="1:37" ht="16.5" customHeight="1">
      <c r="A543" s="2"/>
      <c r="B543" s="11"/>
      <c r="C543" s="2"/>
      <c r="D543" s="3"/>
      <c r="E543" s="3"/>
      <c r="F543" s="2"/>
      <c r="G543" s="12"/>
      <c r="H543" s="12"/>
      <c r="I543" s="13"/>
      <c r="J543" s="13"/>
      <c r="K543" s="15"/>
      <c r="L543" s="3"/>
      <c r="M543" s="6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</row>
    <row r="544" spans="1:37" ht="16.5" customHeight="1">
      <c r="A544" s="2"/>
      <c r="B544" s="11"/>
      <c r="C544" s="2"/>
      <c r="D544" s="3"/>
      <c r="E544" s="3"/>
      <c r="F544" s="2"/>
      <c r="G544" s="12"/>
      <c r="H544" s="12"/>
      <c r="I544" s="13"/>
      <c r="J544" s="13"/>
      <c r="K544" s="15"/>
      <c r="L544" s="3"/>
      <c r="M544" s="6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</row>
    <row r="545" spans="1:37" ht="16.5" customHeight="1">
      <c r="A545" s="2"/>
      <c r="B545" s="11"/>
      <c r="C545" s="2"/>
      <c r="D545" s="3"/>
      <c r="E545" s="3"/>
      <c r="F545" s="2"/>
      <c r="G545" s="12"/>
      <c r="H545" s="12"/>
      <c r="I545" s="13"/>
      <c r="J545" s="13"/>
      <c r="K545" s="15"/>
      <c r="L545" s="3"/>
      <c r="M545" s="6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</row>
    <row r="546" spans="1:37" ht="16.5" customHeight="1">
      <c r="A546" s="2"/>
      <c r="B546" s="11"/>
      <c r="C546" s="2"/>
      <c r="D546" s="3"/>
      <c r="E546" s="3"/>
      <c r="F546" s="2"/>
      <c r="G546" s="12"/>
      <c r="H546" s="12"/>
      <c r="I546" s="13"/>
      <c r="J546" s="13"/>
      <c r="K546" s="15"/>
      <c r="L546" s="3"/>
      <c r="M546" s="6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</row>
    <row r="547" spans="1:37" ht="16.5" customHeight="1">
      <c r="A547" s="2"/>
      <c r="B547" s="11"/>
      <c r="C547" s="2"/>
      <c r="D547" s="3"/>
      <c r="E547" s="3"/>
      <c r="F547" s="2"/>
      <c r="G547" s="12"/>
      <c r="H547" s="12"/>
      <c r="I547" s="13"/>
      <c r="J547" s="13"/>
      <c r="K547" s="15"/>
      <c r="L547" s="3"/>
      <c r="M547" s="6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</row>
    <row r="548" spans="1:37" ht="16.5" customHeight="1">
      <c r="A548" s="2"/>
      <c r="B548" s="11"/>
      <c r="C548" s="2"/>
      <c r="D548" s="3"/>
      <c r="E548" s="3"/>
      <c r="F548" s="2"/>
      <c r="G548" s="12"/>
      <c r="H548" s="12"/>
      <c r="I548" s="13"/>
      <c r="J548" s="13"/>
      <c r="K548" s="15"/>
      <c r="L548" s="3"/>
      <c r="M548" s="6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</row>
    <row r="549" spans="1:37" ht="16.5" customHeight="1">
      <c r="A549" s="2"/>
      <c r="B549" s="11"/>
      <c r="C549" s="2"/>
      <c r="D549" s="3"/>
      <c r="E549" s="3"/>
      <c r="F549" s="2"/>
      <c r="G549" s="12"/>
      <c r="H549" s="12"/>
      <c r="I549" s="13"/>
      <c r="J549" s="13"/>
      <c r="K549" s="15"/>
      <c r="L549" s="3"/>
      <c r="M549" s="6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</row>
    <row r="550" spans="1:37" ht="16.5" customHeight="1">
      <c r="A550" s="2"/>
      <c r="B550" s="11"/>
      <c r="C550" s="2"/>
      <c r="D550" s="3"/>
      <c r="E550" s="3"/>
      <c r="F550" s="2"/>
      <c r="G550" s="12"/>
      <c r="H550" s="12"/>
      <c r="I550" s="13"/>
      <c r="J550" s="13"/>
      <c r="K550" s="15"/>
      <c r="L550" s="3"/>
      <c r="M550" s="6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</row>
    <row r="551" spans="1:37" ht="16.5" customHeight="1">
      <c r="A551" s="2"/>
      <c r="B551" s="11"/>
      <c r="C551" s="2"/>
      <c r="D551" s="3"/>
      <c r="E551" s="3"/>
      <c r="F551" s="2"/>
      <c r="G551" s="12"/>
      <c r="H551" s="12"/>
      <c r="I551" s="13"/>
      <c r="J551" s="13"/>
      <c r="K551" s="15"/>
      <c r="L551" s="3"/>
      <c r="M551" s="6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</row>
    <row r="552" spans="1:37" ht="16.5" customHeight="1">
      <c r="A552" s="2"/>
      <c r="B552" s="11"/>
      <c r="C552" s="2"/>
      <c r="D552" s="3"/>
      <c r="E552" s="3"/>
      <c r="F552" s="2"/>
      <c r="G552" s="12"/>
      <c r="H552" s="12"/>
      <c r="I552" s="13"/>
      <c r="J552" s="13"/>
      <c r="K552" s="15"/>
      <c r="L552" s="3"/>
      <c r="M552" s="6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</row>
    <row r="553" spans="1:37" ht="16.5" customHeight="1">
      <c r="A553" s="2"/>
      <c r="B553" s="11"/>
      <c r="C553" s="2"/>
      <c r="D553" s="3"/>
      <c r="E553" s="3"/>
      <c r="F553" s="2"/>
      <c r="G553" s="12"/>
      <c r="H553" s="12"/>
      <c r="I553" s="13"/>
      <c r="J553" s="13"/>
      <c r="K553" s="15"/>
      <c r="L553" s="3"/>
      <c r="M553" s="6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</row>
    <row r="554" spans="1:37" ht="16.5" customHeight="1">
      <c r="A554" s="2"/>
      <c r="B554" s="11"/>
      <c r="C554" s="2"/>
      <c r="D554" s="3"/>
      <c r="E554" s="3"/>
      <c r="F554" s="2"/>
      <c r="G554" s="12"/>
      <c r="H554" s="12"/>
      <c r="I554" s="13"/>
      <c r="J554" s="13"/>
      <c r="K554" s="15"/>
      <c r="L554" s="3"/>
      <c r="M554" s="6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</row>
    <row r="555" spans="1:37" ht="16.5" customHeight="1">
      <c r="A555" s="2"/>
      <c r="B555" s="11"/>
      <c r="C555" s="2"/>
      <c r="D555" s="3"/>
      <c r="E555" s="3"/>
      <c r="F555" s="2"/>
      <c r="G555" s="12"/>
      <c r="H555" s="12"/>
      <c r="I555" s="13"/>
      <c r="J555" s="13"/>
      <c r="K555" s="15"/>
      <c r="L555" s="3"/>
      <c r="M555" s="6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</row>
    <row r="556" spans="1:37" ht="16.5" customHeight="1">
      <c r="A556" s="2"/>
      <c r="B556" s="11"/>
      <c r="C556" s="2"/>
      <c r="D556" s="3"/>
      <c r="E556" s="3"/>
      <c r="F556" s="2"/>
      <c r="G556" s="12"/>
      <c r="H556" s="12"/>
      <c r="I556" s="13"/>
      <c r="J556" s="13"/>
      <c r="K556" s="15"/>
      <c r="L556" s="3"/>
      <c r="M556" s="6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</row>
    <row r="557" spans="1:37" ht="16.5" customHeight="1">
      <c r="A557" s="2"/>
      <c r="B557" s="11"/>
      <c r="C557" s="2"/>
      <c r="D557" s="3"/>
      <c r="E557" s="3"/>
      <c r="F557" s="2"/>
      <c r="G557" s="12"/>
      <c r="H557" s="12"/>
      <c r="I557" s="13"/>
      <c r="J557" s="13"/>
      <c r="K557" s="15"/>
      <c r="L557" s="3"/>
      <c r="M557" s="6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</row>
    <row r="558" spans="1:37" ht="16.5" customHeight="1">
      <c r="A558" s="2"/>
      <c r="B558" s="11"/>
      <c r="C558" s="2"/>
      <c r="D558" s="3"/>
      <c r="E558" s="3"/>
      <c r="F558" s="2"/>
      <c r="G558" s="12"/>
      <c r="H558" s="12"/>
      <c r="I558" s="13"/>
      <c r="J558" s="13"/>
      <c r="K558" s="15"/>
      <c r="L558" s="3"/>
      <c r="M558" s="6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</row>
    <row r="559" spans="1:37" ht="16.5" customHeight="1">
      <c r="A559" s="2"/>
      <c r="B559" s="11"/>
      <c r="C559" s="2"/>
      <c r="D559" s="3"/>
      <c r="E559" s="3"/>
      <c r="F559" s="2"/>
      <c r="G559" s="12"/>
      <c r="H559" s="12"/>
      <c r="I559" s="13"/>
      <c r="J559" s="13"/>
      <c r="K559" s="15"/>
      <c r="L559" s="3"/>
      <c r="M559" s="6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</row>
    <row r="560" spans="1:37" ht="16.5" customHeight="1">
      <c r="A560" s="2"/>
      <c r="B560" s="11"/>
      <c r="C560" s="2"/>
      <c r="D560" s="3"/>
      <c r="E560" s="3"/>
      <c r="F560" s="2"/>
      <c r="G560" s="12"/>
      <c r="H560" s="12"/>
      <c r="I560" s="13"/>
      <c r="J560" s="13"/>
      <c r="K560" s="15"/>
      <c r="L560" s="3"/>
      <c r="M560" s="6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</row>
    <row r="561" spans="1:37" ht="16.5" customHeight="1">
      <c r="A561" s="2"/>
      <c r="B561" s="11"/>
      <c r="C561" s="2"/>
      <c r="D561" s="3"/>
      <c r="E561" s="3"/>
      <c r="F561" s="2"/>
      <c r="G561" s="12"/>
      <c r="H561" s="12"/>
      <c r="I561" s="13"/>
      <c r="J561" s="13"/>
      <c r="K561" s="15"/>
      <c r="L561" s="3"/>
      <c r="M561" s="6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</row>
    <row r="562" spans="1:37" ht="16.5" customHeight="1">
      <c r="A562" s="2"/>
      <c r="B562" s="11"/>
      <c r="C562" s="2"/>
      <c r="D562" s="3"/>
      <c r="E562" s="3"/>
      <c r="F562" s="2"/>
      <c r="G562" s="12"/>
      <c r="H562" s="12"/>
      <c r="I562" s="13"/>
      <c r="J562" s="13"/>
      <c r="K562" s="15"/>
      <c r="L562" s="3"/>
      <c r="M562" s="6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</row>
    <row r="563" spans="1:37" ht="16.5" customHeight="1">
      <c r="A563" s="2"/>
      <c r="B563" s="11"/>
      <c r="C563" s="2"/>
      <c r="D563" s="3"/>
      <c r="E563" s="3"/>
      <c r="F563" s="2"/>
      <c r="G563" s="12"/>
      <c r="H563" s="12"/>
      <c r="I563" s="13"/>
      <c r="J563" s="13"/>
      <c r="K563" s="15"/>
      <c r="L563" s="3"/>
      <c r="M563" s="6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</row>
    <row r="564" spans="1:37" ht="16.5" customHeight="1">
      <c r="A564" s="2"/>
      <c r="B564" s="11"/>
      <c r="C564" s="2"/>
      <c r="D564" s="3"/>
      <c r="E564" s="3"/>
      <c r="F564" s="2"/>
      <c r="G564" s="12"/>
      <c r="H564" s="12"/>
      <c r="I564" s="13"/>
      <c r="J564" s="13"/>
      <c r="K564" s="15"/>
      <c r="L564" s="3"/>
      <c r="M564" s="6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</row>
    <row r="565" spans="1:37" ht="16.5" customHeight="1">
      <c r="A565" s="2"/>
      <c r="B565" s="11"/>
      <c r="C565" s="2"/>
      <c r="D565" s="3"/>
      <c r="E565" s="3"/>
      <c r="F565" s="2"/>
      <c r="G565" s="12"/>
      <c r="H565" s="12"/>
      <c r="I565" s="13"/>
      <c r="J565" s="13"/>
      <c r="K565" s="15"/>
      <c r="L565" s="3"/>
      <c r="M565" s="6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</row>
    <row r="566" spans="1:37" ht="16.5" customHeight="1">
      <c r="A566" s="2"/>
      <c r="B566" s="11"/>
      <c r="C566" s="2"/>
      <c r="D566" s="3"/>
      <c r="E566" s="3"/>
      <c r="F566" s="2"/>
      <c r="G566" s="12"/>
      <c r="H566" s="12"/>
      <c r="I566" s="13"/>
      <c r="J566" s="13"/>
      <c r="K566" s="15"/>
      <c r="L566" s="3"/>
      <c r="M566" s="6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</row>
    <row r="567" spans="1:37" ht="16.5" customHeight="1">
      <c r="A567" s="2"/>
      <c r="B567" s="11"/>
      <c r="C567" s="2"/>
      <c r="D567" s="3"/>
      <c r="E567" s="3"/>
      <c r="F567" s="2"/>
      <c r="G567" s="12"/>
      <c r="H567" s="12"/>
      <c r="I567" s="13"/>
      <c r="J567" s="13"/>
      <c r="K567" s="15"/>
      <c r="L567" s="3"/>
      <c r="M567" s="6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</row>
    <row r="568" spans="1:37" ht="16.5" customHeight="1">
      <c r="A568" s="2"/>
      <c r="B568" s="11"/>
      <c r="C568" s="2"/>
      <c r="D568" s="3"/>
      <c r="E568" s="3"/>
      <c r="F568" s="2"/>
      <c r="G568" s="12"/>
      <c r="H568" s="12"/>
      <c r="I568" s="13"/>
      <c r="J568" s="13"/>
      <c r="K568" s="15"/>
      <c r="L568" s="3"/>
      <c r="M568" s="6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</row>
    <row r="569" spans="1:37" ht="16.5" customHeight="1">
      <c r="A569" s="2"/>
      <c r="B569" s="11"/>
      <c r="C569" s="2"/>
      <c r="D569" s="3"/>
      <c r="E569" s="3"/>
      <c r="F569" s="2"/>
      <c r="G569" s="12"/>
      <c r="H569" s="12"/>
      <c r="I569" s="13"/>
      <c r="J569" s="13"/>
      <c r="K569" s="15"/>
      <c r="L569" s="3"/>
      <c r="M569" s="6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</row>
    <row r="570" spans="1:37" ht="16.5" customHeight="1">
      <c r="A570" s="2"/>
      <c r="B570" s="11"/>
      <c r="C570" s="2"/>
      <c r="D570" s="3"/>
      <c r="E570" s="3"/>
      <c r="F570" s="2"/>
      <c r="G570" s="12"/>
      <c r="H570" s="12"/>
      <c r="I570" s="13"/>
      <c r="J570" s="13"/>
      <c r="K570" s="15"/>
      <c r="L570" s="3"/>
      <c r="M570" s="6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</row>
    <row r="571" spans="1:37" ht="16.5" customHeight="1">
      <c r="A571" s="2"/>
      <c r="B571" s="11"/>
      <c r="C571" s="2"/>
      <c r="D571" s="3"/>
      <c r="E571" s="3"/>
      <c r="F571" s="2"/>
      <c r="G571" s="12"/>
      <c r="H571" s="12"/>
      <c r="I571" s="13"/>
      <c r="J571" s="13"/>
      <c r="K571" s="15"/>
      <c r="L571" s="3"/>
      <c r="M571" s="6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</row>
    <row r="572" spans="1:37" ht="16.5" customHeight="1">
      <c r="A572" s="2"/>
      <c r="B572" s="11"/>
      <c r="C572" s="2"/>
      <c r="D572" s="3"/>
      <c r="E572" s="3"/>
      <c r="F572" s="2"/>
      <c r="G572" s="12"/>
      <c r="H572" s="12"/>
      <c r="I572" s="13"/>
      <c r="J572" s="13"/>
      <c r="K572" s="15"/>
      <c r="L572" s="3"/>
      <c r="M572" s="6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</row>
    <row r="573" spans="1:37" ht="16.5" customHeight="1">
      <c r="A573" s="2"/>
      <c r="B573" s="11"/>
      <c r="C573" s="2"/>
      <c r="D573" s="3"/>
      <c r="E573" s="3"/>
      <c r="F573" s="2"/>
      <c r="G573" s="12"/>
      <c r="H573" s="12"/>
      <c r="I573" s="13"/>
      <c r="J573" s="13"/>
      <c r="K573" s="15"/>
      <c r="L573" s="3"/>
      <c r="M573" s="6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</row>
    <row r="574" spans="1:37" ht="16.5" customHeight="1">
      <c r="A574" s="2"/>
      <c r="B574" s="11"/>
      <c r="C574" s="2"/>
      <c r="D574" s="3"/>
      <c r="E574" s="3"/>
      <c r="F574" s="2"/>
      <c r="G574" s="12"/>
      <c r="H574" s="12"/>
      <c r="I574" s="13"/>
      <c r="J574" s="13"/>
      <c r="K574" s="15"/>
      <c r="L574" s="3"/>
      <c r="M574" s="6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</row>
    <row r="575" spans="1:37" ht="16.5" customHeight="1">
      <c r="A575" s="2"/>
      <c r="B575" s="11"/>
      <c r="C575" s="2"/>
      <c r="D575" s="3"/>
      <c r="E575" s="3"/>
      <c r="F575" s="2"/>
      <c r="G575" s="12"/>
      <c r="H575" s="12"/>
      <c r="I575" s="13"/>
      <c r="J575" s="13"/>
      <c r="K575" s="15"/>
      <c r="L575" s="3"/>
      <c r="M575" s="6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</row>
    <row r="576" spans="1:37" ht="16.5" customHeight="1">
      <c r="A576" s="2"/>
      <c r="B576" s="11"/>
      <c r="C576" s="2"/>
      <c r="D576" s="3"/>
      <c r="E576" s="3"/>
      <c r="F576" s="2"/>
      <c r="G576" s="12"/>
      <c r="H576" s="12"/>
      <c r="I576" s="13"/>
      <c r="J576" s="13"/>
      <c r="K576" s="15"/>
      <c r="L576" s="3"/>
      <c r="M576" s="6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</row>
    <row r="577" spans="1:37" ht="16.5" customHeight="1">
      <c r="A577" s="2"/>
      <c r="B577" s="11"/>
      <c r="C577" s="2"/>
      <c r="D577" s="3"/>
      <c r="E577" s="3"/>
      <c r="F577" s="2"/>
      <c r="G577" s="12"/>
      <c r="H577" s="12"/>
      <c r="I577" s="13"/>
      <c r="J577" s="13"/>
      <c r="K577" s="15"/>
      <c r="L577" s="3"/>
      <c r="M577" s="6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</row>
    <row r="578" spans="1:37" ht="16.5" customHeight="1">
      <c r="A578" s="2"/>
      <c r="B578" s="11"/>
      <c r="C578" s="2"/>
      <c r="D578" s="3"/>
      <c r="E578" s="3"/>
      <c r="F578" s="2"/>
      <c r="G578" s="12"/>
      <c r="H578" s="12"/>
      <c r="I578" s="13"/>
      <c r="J578" s="13"/>
      <c r="K578" s="15"/>
      <c r="L578" s="3"/>
      <c r="M578" s="6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</row>
    <row r="579" spans="1:37" ht="16.5" customHeight="1">
      <c r="A579" s="2"/>
      <c r="B579" s="11"/>
      <c r="C579" s="2"/>
      <c r="D579" s="3"/>
      <c r="E579" s="3"/>
      <c r="F579" s="2"/>
      <c r="G579" s="12"/>
      <c r="H579" s="12"/>
      <c r="I579" s="13"/>
      <c r="J579" s="13"/>
      <c r="K579" s="15"/>
      <c r="L579" s="3"/>
      <c r="M579" s="6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</row>
    <row r="580" spans="1:37" ht="16.5" customHeight="1">
      <c r="A580" s="2"/>
      <c r="B580" s="11"/>
      <c r="C580" s="2"/>
      <c r="D580" s="3"/>
      <c r="E580" s="3"/>
      <c r="F580" s="2"/>
      <c r="G580" s="12"/>
      <c r="H580" s="12"/>
      <c r="I580" s="13"/>
      <c r="J580" s="13"/>
      <c r="K580" s="15"/>
      <c r="L580" s="3"/>
      <c r="M580" s="6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</row>
    <row r="581" spans="1:37" ht="16.5" customHeight="1">
      <c r="A581" s="2"/>
      <c r="B581" s="11"/>
      <c r="C581" s="2"/>
      <c r="D581" s="3"/>
      <c r="E581" s="3"/>
      <c r="F581" s="2"/>
      <c r="G581" s="12"/>
      <c r="H581" s="12"/>
      <c r="I581" s="13"/>
      <c r="J581" s="13"/>
      <c r="K581" s="15"/>
      <c r="L581" s="3"/>
      <c r="M581" s="6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</row>
    <row r="582" spans="1:37" ht="16.5" customHeight="1">
      <c r="A582" s="2"/>
      <c r="B582" s="11"/>
      <c r="C582" s="2"/>
      <c r="D582" s="3"/>
      <c r="E582" s="3"/>
      <c r="F582" s="2"/>
      <c r="G582" s="12"/>
      <c r="H582" s="12"/>
      <c r="I582" s="13"/>
      <c r="J582" s="13"/>
      <c r="K582" s="15"/>
      <c r="L582" s="3"/>
      <c r="M582" s="6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</row>
    <row r="583" spans="1:37" ht="16.5" customHeight="1">
      <c r="A583" s="2"/>
      <c r="B583" s="11"/>
      <c r="C583" s="2"/>
      <c r="D583" s="3"/>
      <c r="E583" s="3"/>
      <c r="F583" s="2"/>
      <c r="G583" s="12"/>
      <c r="H583" s="12"/>
      <c r="I583" s="13"/>
      <c r="J583" s="13"/>
      <c r="K583" s="15"/>
      <c r="L583" s="3"/>
      <c r="M583" s="6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</row>
    <row r="584" spans="1:37" ht="16.5" customHeight="1">
      <c r="A584" s="2"/>
      <c r="B584" s="11"/>
      <c r="C584" s="2"/>
      <c r="D584" s="3"/>
      <c r="E584" s="3"/>
      <c r="F584" s="2"/>
      <c r="G584" s="12"/>
      <c r="H584" s="12"/>
      <c r="I584" s="13"/>
      <c r="J584" s="13"/>
      <c r="K584" s="15"/>
      <c r="L584" s="3"/>
      <c r="M584" s="6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</row>
    <row r="585" spans="1:37" ht="16.5" customHeight="1">
      <c r="A585" s="2"/>
      <c r="B585" s="11"/>
      <c r="C585" s="2"/>
      <c r="D585" s="3"/>
      <c r="E585" s="3"/>
      <c r="F585" s="2"/>
      <c r="G585" s="12"/>
      <c r="H585" s="12"/>
      <c r="I585" s="13"/>
      <c r="J585" s="13"/>
      <c r="K585" s="15"/>
      <c r="L585" s="3"/>
      <c r="M585" s="6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</row>
    <row r="586" spans="1:37" ht="16.5" customHeight="1">
      <c r="A586" s="2"/>
      <c r="B586" s="11"/>
      <c r="C586" s="2"/>
      <c r="D586" s="3"/>
      <c r="E586" s="3"/>
      <c r="F586" s="2"/>
      <c r="G586" s="12"/>
      <c r="H586" s="12"/>
      <c r="I586" s="13"/>
      <c r="J586" s="13"/>
      <c r="K586" s="15"/>
      <c r="L586" s="3"/>
      <c r="M586" s="6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</row>
    <row r="587" spans="1:37" ht="16.5" customHeight="1">
      <c r="A587" s="2"/>
      <c r="B587" s="11"/>
      <c r="C587" s="2"/>
      <c r="D587" s="3"/>
      <c r="E587" s="3"/>
      <c r="F587" s="2"/>
      <c r="G587" s="12"/>
      <c r="H587" s="12"/>
      <c r="I587" s="13"/>
      <c r="J587" s="13"/>
      <c r="K587" s="15"/>
      <c r="L587" s="3"/>
      <c r="M587" s="6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</row>
    <row r="588" spans="1:37" ht="16.5" customHeight="1">
      <c r="A588" s="2"/>
      <c r="B588" s="11"/>
      <c r="C588" s="2"/>
      <c r="D588" s="3"/>
      <c r="E588" s="3"/>
      <c r="F588" s="2"/>
      <c r="G588" s="12"/>
      <c r="H588" s="12"/>
      <c r="I588" s="13"/>
      <c r="J588" s="13"/>
      <c r="K588" s="15"/>
      <c r="L588" s="3"/>
      <c r="M588" s="6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</row>
    <row r="589" spans="1:37" ht="16.5" customHeight="1">
      <c r="A589" s="2"/>
      <c r="B589" s="11"/>
      <c r="C589" s="2"/>
      <c r="D589" s="3"/>
      <c r="E589" s="3"/>
      <c r="F589" s="2"/>
      <c r="G589" s="12"/>
      <c r="H589" s="12"/>
      <c r="I589" s="13"/>
      <c r="J589" s="13"/>
      <c r="K589" s="15"/>
      <c r="L589" s="3"/>
      <c r="M589" s="6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</row>
    <row r="590" spans="1:37" ht="16.5" customHeight="1">
      <c r="A590" s="2"/>
      <c r="B590" s="11"/>
      <c r="C590" s="2"/>
      <c r="D590" s="3"/>
      <c r="E590" s="3"/>
      <c r="F590" s="2"/>
      <c r="G590" s="12"/>
      <c r="H590" s="12"/>
      <c r="I590" s="13"/>
      <c r="J590" s="13"/>
      <c r="K590" s="15"/>
      <c r="L590" s="3"/>
      <c r="M590" s="6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</row>
    <row r="591" spans="1:37" ht="16.5" customHeight="1">
      <c r="A591" s="2"/>
      <c r="B591" s="11"/>
      <c r="C591" s="2"/>
      <c r="D591" s="3"/>
      <c r="E591" s="3"/>
      <c r="F591" s="2"/>
      <c r="G591" s="12"/>
      <c r="H591" s="12"/>
      <c r="I591" s="13"/>
      <c r="J591" s="13"/>
      <c r="K591" s="15"/>
      <c r="L591" s="3"/>
      <c r="M591" s="6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</row>
    <row r="592" spans="1:37" ht="16.5" customHeight="1">
      <c r="A592" s="2"/>
      <c r="B592" s="11"/>
      <c r="C592" s="2"/>
      <c r="D592" s="3"/>
      <c r="E592" s="3"/>
      <c r="F592" s="2"/>
      <c r="G592" s="12"/>
      <c r="H592" s="12"/>
      <c r="I592" s="13"/>
      <c r="J592" s="13"/>
      <c r="K592" s="15"/>
      <c r="L592" s="3"/>
      <c r="M592" s="6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</row>
    <row r="593" spans="1:37" ht="16.5" customHeight="1">
      <c r="A593" s="2"/>
      <c r="B593" s="11"/>
      <c r="C593" s="2"/>
      <c r="D593" s="3"/>
      <c r="E593" s="3"/>
      <c r="F593" s="2"/>
      <c r="G593" s="12"/>
      <c r="H593" s="12"/>
      <c r="I593" s="13"/>
      <c r="J593" s="13"/>
      <c r="K593" s="15"/>
      <c r="L593" s="3"/>
      <c r="M593" s="6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</row>
    <row r="594" spans="1:37" ht="16.5" customHeight="1">
      <c r="A594" s="2"/>
      <c r="B594" s="11"/>
      <c r="C594" s="2"/>
      <c r="D594" s="3"/>
      <c r="E594" s="3"/>
      <c r="F594" s="2"/>
      <c r="G594" s="12"/>
      <c r="H594" s="12"/>
      <c r="I594" s="13"/>
      <c r="J594" s="13"/>
      <c r="K594" s="15"/>
      <c r="L594" s="3"/>
      <c r="M594" s="6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</row>
    <row r="595" spans="1:37" ht="16.5" customHeight="1">
      <c r="A595" s="2"/>
      <c r="B595" s="11"/>
      <c r="C595" s="2"/>
      <c r="D595" s="3"/>
      <c r="E595" s="3"/>
      <c r="F595" s="2"/>
      <c r="G595" s="12"/>
      <c r="H595" s="12"/>
      <c r="I595" s="13"/>
      <c r="J595" s="13"/>
      <c r="K595" s="15"/>
      <c r="L595" s="3"/>
      <c r="M595" s="6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</row>
    <row r="596" spans="1:37" ht="16.5" customHeight="1">
      <c r="A596" s="2"/>
      <c r="B596" s="11"/>
      <c r="C596" s="2"/>
      <c r="D596" s="3"/>
      <c r="E596" s="3"/>
      <c r="F596" s="2"/>
      <c r="G596" s="12"/>
      <c r="H596" s="12"/>
      <c r="I596" s="13"/>
      <c r="J596" s="13"/>
      <c r="K596" s="15"/>
      <c r="L596" s="3"/>
      <c r="M596" s="6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</row>
    <row r="597" spans="1:37" ht="16.5" customHeight="1">
      <c r="A597" s="2"/>
      <c r="B597" s="11"/>
      <c r="C597" s="2"/>
      <c r="D597" s="3"/>
      <c r="E597" s="3"/>
      <c r="F597" s="2"/>
      <c r="G597" s="12"/>
      <c r="H597" s="12"/>
      <c r="I597" s="13"/>
      <c r="J597" s="13"/>
      <c r="K597" s="15"/>
      <c r="L597" s="3"/>
      <c r="M597" s="6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</row>
    <row r="598" spans="1:37" ht="16.5" customHeight="1">
      <c r="A598" s="2"/>
      <c r="B598" s="11"/>
      <c r="C598" s="2"/>
      <c r="D598" s="3"/>
      <c r="E598" s="3"/>
      <c r="F598" s="2"/>
      <c r="G598" s="12"/>
      <c r="H598" s="12"/>
      <c r="I598" s="13"/>
      <c r="J598" s="13"/>
      <c r="K598" s="15"/>
      <c r="L598" s="3"/>
      <c r="M598" s="6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</row>
    <row r="599" spans="1:37" ht="16.5" customHeight="1">
      <c r="A599" s="2"/>
      <c r="B599" s="11"/>
      <c r="C599" s="2"/>
      <c r="D599" s="3"/>
      <c r="E599" s="3"/>
      <c r="F599" s="2"/>
      <c r="G599" s="12"/>
      <c r="H599" s="12"/>
      <c r="I599" s="13"/>
      <c r="J599" s="13"/>
      <c r="K599" s="15"/>
      <c r="L599" s="3"/>
      <c r="M599" s="6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</row>
    <row r="600" spans="1:37" ht="16.5" customHeight="1">
      <c r="A600" s="2"/>
      <c r="B600" s="11"/>
      <c r="C600" s="2"/>
      <c r="D600" s="3"/>
      <c r="E600" s="3"/>
      <c r="F600" s="2"/>
      <c r="G600" s="12"/>
      <c r="H600" s="12"/>
      <c r="I600" s="13"/>
      <c r="J600" s="13"/>
      <c r="K600" s="15"/>
      <c r="L600" s="3"/>
      <c r="M600" s="6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</row>
    <row r="601" spans="1:37" ht="16.5" customHeight="1">
      <c r="A601" s="2"/>
      <c r="B601" s="11"/>
      <c r="C601" s="2"/>
      <c r="D601" s="3"/>
      <c r="E601" s="3"/>
      <c r="F601" s="2"/>
      <c r="G601" s="12"/>
      <c r="H601" s="12"/>
      <c r="I601" s="13"/>
      <c r="J601" s="13"/>
      <c r="K601" s="15"/>
      <c r="L601" s="3"/>
      <c r="M601" s="6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</row>
    <row r="602" spans="1:37" ht="16.5" customHeight="1">
      <c r="A602" s="2"/>
      <c r="B602" s="11"/>
      <c r="C602" s="2"/>
      <c r="D602" s="3"/>
      <c r="E602" s="3"/>
      <c r="F602" s="2"/>
      <c r="G602" s="12"/>
      <c r="H602" s="12"/>
      <c r="I602" s="13"/>
      <c r="J602" s="13"/>
      <c r="K602" s="15"/>
      <c r="L602" s="3"/>
      <c r="M602" s="6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</row>
    <row r="603" spans="1:37" ht="16.5" customHeight="1">
      <c r="A603" s="2"/>
      <c r="B603" s="11"/>
      <c r="C603" s="2"/>
      <c r="D603" s="3"/>
      <c r="E603" s="3"/>
      <c r="F603" s="2"/>
      <c r="G603" s="12"/>
      <c r="H603" s="12"/>
      <c r="I603" s="13"/>
      <c r="J603" s="13"/>
      <c r="K603" s="15"/>
      <c r="L603" s="3"/>
      <c r="M603" s="6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</row>
    <row r="604" spans="1:37" ht="16.5" customHeight="1">
      <c r="A604" s="2"/>
      <c r="B604" s="11"/>
      <c r="C604" s="2"/>
      <c r="D604" s="3"/>
      <c r="E604" s="3"/>
      <c r="F604" s="2"/>
      <c r="G604" s="12"/>
      <c r="H604" s="12"/>
      <c r="I604" s="13"/>
      <c r="J604" s="13"/>
      <c r="K604" s="15"/>
      <c r="L604" s="3"/>
      <c r="M604" s="6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</row>
    <row r="605" spans="1:37" ht="16.5" customHeight="1">
      <c r="A605" s="2"/>
      <c r="B605" s="11"/>
      <c r="C605" s="2"/>
      <c r="D605" s="3"/>
      <c r="E605" s="3"/>
      <c r="F605" s="2"/>
      <c r="G605" s="12"/>
      <c r="H605" s="12"/>
      <c r="I605" s="13"/>
      <c r="J605" s="13"/>
      <c r="K605" s="15"/>
      <c r="L605" s="3"/>
      <c r="M605" s="6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</row>
    <row r="606" spans="1:37" ht="16.5" customHeight="1">
      <c r="A606" s="2"/>
      <c r="B606" s="11"/>
      <c r="C606" s="2"/>
      <c r="D606" s="3"/>
      <c r="E606" s="3"/>
      <c r="F606" s="2"/>
      <c r="G606" s="12"/>
      <c r="H606" s="12"/>
      <c r="I606" s="13"/>
      <c r="J606" s="13"/>
      <c r="K606" s="15"/>
      <c r="L606" s="3"/>
      <c r="M606" s="6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</row>
    <row r="607" spans="1:37" ht="16.5" customHeight="1">
      <c r="A607" s="2"/>
      <c r="B607" s="11"/>
      <c r="C607" s="2"/>
      <c r="D607" s="3"/>
      <c r="E607" s="3"/>
      <c r="F607" s="2"/>
      <c r="G607" s="12"/>
      <c r="H607" s="12"/>
      <c r="I607" s="13"/>
      <c r="J607" s="13"/>
      <c r="K607" s="15"/>
      <c r="L607" s="3"/>
      <c r="M607" s="6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</row>
    <row r="608" spans="1:37" ht="16.5" customHeight="1">
      <c r="A608" s="2"/>
      <c r="B608" s="11"/>
      <c r="C608" s="2"/>
      <c r="D608" s="3"/>
      <c r="E608" s="3"/>
      <c r="F608" s="2"/>
      <c r="G608" s="12"/>
      <c r="H608" s="12"/>
      <c r="I608" s="13"/>
      <c r="J608" s="13"/>
      <c r="K608" s="15"/>
      <c r="L608" s="3"/>
      <c r="M608" s="6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</row>
    <row r="609" spans="1:37" ht="16.5" customHeight="1">
      <c r="A609" s="2"/>
      <c r="B609" s="11"/>
      <c r="C609" s="2"/>
      <c r="D609" s="3"/>
      <c r="E609" s="3"/>
      <c r="F609" s="2"/>
      <c r="G609" s="12"/>
      <c r="H609" s="12"/>
      <c r="I609" s="13"/>
      <c r="J609" s="13"/>
      <c r="K609" s="15"/>
      <c r="L609" s="3"/>
      <c r="M609" s="6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</row>
    <row r="610" spans="1:37" ht="16.5" customHeight="1">
      <c r="A610" s="2"/>
      <c r="B610" s="11"/>
      <c r="C610" s="2"/>
      <c r="D610" s="3"/>
      <c r="E610" s="3"/>
      <c r="F610" s="2"/>
      <c r="G610" s="12"/>
      <c r="H610" s="12"/>
      <c r="I610" s="13"/>
      <c r="J610" s="13"/>
      <c r="K610" s="15"/>
      <c r="L610" s="3"/>
      <c r="M610" s="6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</row>
    <row r="611" spans="1:37" ht="16.5" customHeight="1">
      <c r="A611" s="2"/>
      <c r="B611" s="11"/>
      <c r="C611" s="2"/>
      <c r="D611" s="3"/>
      <c r="E611" s="3"/>
      <c r="F611" s="2"/>
      <c r="G611" s="12"/>
      <c r="H611" s="12"/>
      <c r="I611" s="13"/>
      <c r="J611" s="13"/>
      <c r="K611" s="15"/>
      <c r="L611" s="3"/>
      <c r="M611" s="6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</row>
    <row r="612" spans="1:37" ht="16.5" customHeight="1">
      <c r="A612" s="2"/>
      <c r="B612" s="11"/>
      <c r="C612" s="2"/>
      <c r="D612" s="3"/>
      <c r="E612" s="3"/>
      <c r="F612" s="2"/>
      <c r="G612" s="12"/>
      <c r="H612" s="12"/>
      <c r="I612" s="13"/>
      <c r="J612" s="13"/>
      <c r="K612" s="15"/>
      <c r="L612" s="3"/>
      <c r="M612" s="6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</row>
    <row r="613" spans="1:37" ht="16.5" customHeight="1">
      <c r="A613" s="2"/>
      <c r="B613" s="11"/>
      <c r="C613" s="2"/>
      <c r="D613" s="3"/>
      <c r="E613" s="3"/>
      <c r="F613" s="2"/>
      <c r="G613" s="12"/>
      <c r="H613" s="12"/>
      <c r="I613" s="13"/>
      <c r="J613" s="13"/>
      <c r="K613" s="15"/>
      <c r="L613" s="3"/>
      <c r="M613" s="6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</row>
    <row r="614" spans="1:37" ht="16.5" customHeight="1">
      <c r="A614" s="2"/>
      <c r="B614" s="11"/>
      <c r="C614" s="2"/>
      <c r="D614" s="3"/>
      <c r="E614" s="3"/>
      <c r="F614" s="2"/>
      <c r="G614" s="12"/>
      <c r="H614" s="12"/>
      <c r="I614" s="13"/>
      <c r="J614" s="13"/>
      <c r="K614" s="15"/>
      <c r="L614" s="3"/>
      <c r="M614" s="6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</row>
    <row r="615" spans="1:37" ht="16.5" customHeight="1">
      <c r="A615" s="2"/>
      <c r="B615" s="11"/>
      <c r="C615" s="2"/>
      <c r="D615" s="3"/>
      <c r="E615" s="3"/>
      <c r="F615" s="2"/>
      <c r="G615" s="12"/>
      <c r="H615" s="12"/>
      <c r="I615" s="13"/>
      <c r="J615" s="13"/>
      <c r="K615" s="15"/>
      <c r="L615" s="3"/>
      <c r="M615" s="6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</row>
    <row r="616" spans="1:37" ht="16.5" customHeight="1">
      <c r="A616" s="2"/>
      <c r="B616" s="11"/>
      <c r="C616" s="2"/>
      <c r="D616" s="3"/>
      <c r="E616" s="3"/>
      <c r="F616" s="2"/>
      <c r="G616" s="12"/>
      <c r="H616" s="12"/>
      <c r="I616" s="13"/>
      <c r="J616" s="13"/>
      <c r="K616" s="15"/>
      <c r="L616" s="3"/>
      <c r="M616" s="6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</row>
    <row r="617" spans="1:37" ht="16.5" customHeight="1">
      <c r="A617" s="2"/>
      <c r="B617" s="11"/>
      <c r="C617" s="2"/>
      <c r="D617" s="3"/>
      <c r="E617" s="3"/>
      <c r="F617" s="2"/>
      <c r="G617" s="12"/>
      <c r="H617" s="12"/>
      <c r="I617" s="13"/>
      <c r="J617" s="13"/>
      <c r="K617" s="15"/>
      <c r="L617" s="3"/>
      <c r="M617" s="6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</row>
    <row r="618" spans="1:37" ht="16.5" customHeight="1">
      <c r="A618" s="2"/>
      <c r="B618" s="11"/>
      <c r="C618" s="2"/>
      <c r="D618" s="3"/>
      <c r="E618" s="3"/>
      <c r="F618" s="2"/>
      <c r="G618" s="12"/>
      <c r="H618" s="12"/>
      <c r="I618" s="13"/>
      <c r="J618" s="13"/>
      <c r="K618" s="15"/>
      <c r="L618" s="3"/>
      <c r="M618" s="6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</row>
    <row r="619" spans="1:37" ht="16.5" customHeight="1">
      <c r="A619" s="2"/>
      <c r="B619" s="11"/>
      <c r="C619" s="2"/>
      <c r="D619" s="3"/>
      <c r="E619" s="3"/>
      <c r="F619" s="2"/>
      <c r="G619" s="12"/>
      <c r="H619" s="12"/>
      <c r="I619" s="13"/>
      <c r="J619" s="13"/>
      <c r="K619" s="15"/>
      <c r="L619" s="3"/>
      <c r="M619" s="6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</row>
    <row r="620" spans="1:37" ht="16.5" customHeight="1">
      <c r="A620" s="2"/>
      <c r="B620" s="11"/>
      <c r="C620" s="2"/>
      <c r="D620" s="3"/>
      <c r="E620" s="3"/>
      <c r="F620" s="2"/>
      <c r="G620" s="12"/>
      <c r="H620" s="12"/>
      <c r="I620" s="13"/>
      <c r="J620" s="13"/>
      <c r="K620" s="15"/>
      <c r="L620" s="3"/>
      <c r="M620" s="6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</row>
    <row r="621" spans="1:37" ht="16.5" customHeight="1">
      <c r="A621" s="2"/>
      <c r="B621" s="11"/>
      <c r="C621" s="2"/>
      <c r="D621" s="3"/>
      <c r="E621" s="3"/>
      <c r="F621" s="2"/>
      <c r="G621" s="12"/>
      <c r="H621" s="12"/>
      <c r="I621" s="13"/>
      <c r="J621" s="13"/>
      <c r="K621" s="15"/>
      <c r="L621" s="3"/>
      <c r="M621" s="6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</row>
    <row r="622" spans="1:37" ht="16.5" customHeight="1">
      <c r="A622" s="2"/>
      <c r="B622" s="11"/>
      <c r="C622" s="2"/>
      <c r="D622" s="3"/>
      <c r="E622" s="3"/>
      <c r="F622" s="2"/>
      <c r="G622" s="12"/>
      <c r="H622" s="12"/>
      <c r="I622" s="13"/>
      <c r="J622" s="13"/>
      <c r="K622" s="15"/>
      <c r="L622" s="3"/>
      <c r="M622" s="6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</row>
    <row r="623" spans="1:37" ht="16.5" customHeight="1">
      <c r="A623" s="2"/>
      <c r="B623" s="11"/>
      <c r="C623" s="2"/>
      <c r="D623" s="3"/>
      <c r="E623" s="3"/>
      <c r="F623" s="2"/>
      <c r="G623" s="12"/>
      <c r="H623" s="12"/>
      <c r="I623" s="13"/>
      <c r="J623" s="13"/>
      <c r="K623" s="15"/>
      <c r="L623" s="3"/>
      <c r="M623" s="6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</row>
    <row r="624" spans="1:37" ht="16.5" customHeight="1">
      <c r="A624" s="2"/>
      <c r="B624" s="11"/>
      <c r="C624" s="2"/>
      <c r="D624" s="3"/>
      <c r="E624" s="3"/>
      <c r="F624" s="2"/>
      <c r="G624" s="12"/>
      <c r="H624" s="12"/>
      <c r="I624" s="13"/>
      <c r="J624" s="13"/>
      <c r="K624" s="15"/>
      <c r="L624" s="3"/>
      <c r="M624" s="6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</row>
    <row r="625" spans="1:37" ht="16.5" customHeight="1">
      <c r="A625" s="2"/>
      <c r="B625" s="11"/>
      <c r="C625" s="2"/>
      <c r="D625" s="3"/>
      <c r="E625" s="3"/>
      <c r="F625" s="2"/>
      <c r="G625" s="12"/>
      <c r="H625" s="12"/>
      <c r="I625" s="13"/>
      <c r="J625" s="13"/>
      <c r="K625" s="15"/>
      <c r="L625" s="3"/>
      <c r="M625" s="6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</row>
    <row r="626" spans="1:37" ht="16.5" customHeight="1">
      <c r="A626" s="2"/>
      <c r="B626" s="11"/>
      <c r="C626" s="2"/>
      <c r="D626" s="3"/>
      <c r="E626" s="3"/>
      <c r="F626" s="2"/>
      <c r="G626" s="12"/>
      <c r="H626" s="12"/>
      <c r="I626" s="13"/>
      <c r="J626" s="13"/>
      <c r="K626" s="15"/>
      <c r="L626" s="3"/>
      <c r="M626" s="6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</row>
    <row r="627" spans="1:37" ht="16.5" customHeight="1">
      <c r="A627" s="2"/>
      <c r="B627" s="11"/>
      <c r="C627" s="2"/>
      <c r="D627" s="3"/>
      <c r="E627" s="3"/>
      <c r="F627" s="2"/>
      <c r="G627" s="12"/>
      <c r="H627" s="12"/>
      <c r="I627" s="13"/>
      <c r="J627" s="13"/>
      <c r="K627" s="15"/>
      <c r="L627" s="3"/>
      <c r="M627" s="6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</row>
    <row r="628" spans="1:37" ht="16.5" customHeight="1">
      <c r="A628" s="2"/>
      <c r="B628" s="11"/>
      <c r="C628" s="2"/>
      <c r="D628" s="3"/>
      <c r="E628" s="3"/>
      <c r="F628" s="2"/>
      <c r="G628" s="12"/>
      <c r="H628" s="12"/>
      <c r="I628" s="13"/>
      <c r="J628" s="13"/>
      <c r="K628" s="15"/>
      <c r="L628" s="3"/>
      <c r="M628" s="6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</row>
    <row r="629" spans="1:37" ht="16.5" customHeight="1">
      <c r="A629" s="2"/>
      <c r="B629" s="11"/>
      <c r="C629" s="2"/>
      <c r="D629" s="3"/>
      <c r="E629" s="3"/>
      <c r="F629" s="2"/>
      <c r="G629" s="12"/>
      <c r="H629" s="12"/>
      <c r="I629" s="13"/>
      <c r="J629" s="13"/>
      <c r="K629" s="15"/>
      <c r="L629" s="3"/>
      <c r="M629" s="6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</row>
    <row r="630" spans="1:37" ht="16.5" customHeight="1">
      <c r="A630" s="2"/>
      <c r="B630" s="11"/>
      <c r="C630" s="2"/>
      <c r="D630" s="3"/>
      <c r="E630" s="3"/>
      <c r="F630" s="2"/>
      <c r="G630" s="12"/>
      <c r="H630" s="12"/>
      <c r="I630" s="13"/>
      <c r="J630" s="13"/>
      <c r="K630" s="15"/>
      <c r="L630" s="3"/>
      <c r="M630" s="6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</row>
    <row r="631" spans="1:37" ht="16.5" customHeight="1">
      <c r="A631" s="2"/>
      <c r="B631" s="11"/>
      <c r="C631" s="2"/>
      <c r="D631" s="3"/>
      <c r="E631" s="3"/>
      <c r="F631" s="2"/>
      <c r="G631" s="12"/>
      <c r="H631" s="12"/>
      <c r="I631" s="13"/>
      <c r="J631" s="13"/>
      <c r="K631" s="15"/>
      <c r="L631" s="3"/>
      <c r="M631" s="6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</row>
    <row r="632" spans="1:37" ht="16.5" customHeight="1">
      <c r="A632" s="2"/>
      <c r="B632" s="11"/>
      <c r="C632" s="2"/>
      <c r="D632" s="3"/>
      <c r="E632" s="3"/>
      <c r="F632" s="2"/>
      <c r="G632" s="12"/>
      <c r="H632" s="12"/>
      <c r="I632" s="13"/>
      <c r="J632" s="13"/>
      <c r="K632" s="15"/>
      <c r="L632" s="3"/>
      <c r="M632" s="6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</row>
    <row r="633" spans="1:37" ht="16.5" customHeight="1">
      <c r="A633" s="2"/>
      <c r="B633" s="11"/>
      <c r="C633" s="2"/>
      <c r="D633" s="3"/>
      <c r="E633" s="3"/>
      <c r="F633" s="2"/>
      <c r="G633" s="12"/>
      <c r="H633" s="12"/>
      <c r="I633" s="13"/>
      <c r="J633" s="13"/>
      <c r="K633" s="15"/>
      <c r="L633" s="3"/>
      <c r="M633" s="6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</row>
    <row r="634" spans="1:37" ht="16.5" customHeight="1">
      <c r="A634" s="2"/>
      <c r="B634" s="11"/>
      <c r="C634" s="2"/>
      <c r="D634" s="3"/>
      <c r="E634" s="3"/>
      <c r="F634" s="2"/>
      <c r="G634" s="12"/>
      <c r="H634" s="12"/>
      <c r="I634" s="13"/>
      <c r="J634" s="13"/>
      <c r="K634" s="15"/>
      <c r="L634" s="3"/>
      <c r="M634" s="6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</row>
    <row r="635" spans="1:37" ht="16.5" customHeight="1">
      <c r="A635" s="2"/>
      <c r="B635" s="11"/>
      <c r="C635" s="2"/>
      <c r="D635" s="3"/>
      <c r="E635" s="3"/>
      <c r="F635" s="2"/>
      <c r="G635" s="12"/>
      <c r="H635" s="12"/>
      <c r="I635" s="13"/>
      <c r="J635" s="13"/>
      <c r="K635" s="15"/>
      <c r="L635" s="3"/>
      <c r="M635" s="6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</row>
    <row r="636" spans="1:37" ht="16.5" customHeight="1">
      <c r="A636" s="2"/>
      <c r="B636" s="11"/>
      <c r="C636" s="2"/>
      <c r="D636" s="3"/>
      <c r="E636" s="3"/>
      <c r="F636" s="2"/>
      <c r="G636" s="12"/>
      <c r="H636" s="12"/>
      <c r="I636" s="13"/>
      <c r="J636" s="13"/>
      <c r="K636" s="15"/>
      <c r="L636" s="3"/>
      <c r="M636" s="6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</row>
    <row r="637" spans="1:37" ht="16.5" customHeight="1">
      <c r="A637" s="2"/>
      <c r="B637" s="11"/>
      <c r="C637" s="2"/>
      <c r="D637" s="3"/>
      <c r="E637" s="3"/>
      <c r="F637" s="2"/>
      <c r="G637" s="12"/>
      <c r="H637" s="12"/>
      <c r="I637" s="13"/>
      <c r="J637" s="13"/>
      <c r="K637" s="15"/>
      <c r="L637" s="3"/>
      <c r="M637" s="6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</row>
    <row r="638" spans="1:37" ht="16.5" customHeight="1">
      <c r="A638" s="2"/>
      <c r="B638" s="11"/>
      <c r="C638" s="2"/>
      <c r="D638" s="3"/>
      <c r="E638" s="3"/>
      <c r="F638" s="2"/>
      <c r="G638" s="12"/>
      <c r="H638" s="12"/>
      <c r="I638" s="13"/>
      <c r="J638" s="13"/>
      <c r="K638" s="15"/>
      <c r="L638" s="3"/>
      <c r="M638" s="6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</row>
    <row r="639" spans="1:37" ht="16.5" customHeight="1">
      <c r="A639" s="2"/>
      <c r="B639" s="11"/>
      <c r="C639" s="2"/>
      <c r="D639" s="3"/>
      <c r="E639" s="3"/>
      <c r="F639" s="2"/>
      <c r="G639" s="12"/>
      <c r="H639" s="12"/>
      <c r="I639" s="13"/>
      <c r="J639" s="13"/>
      <c r="K639" s="15"/>
      <c r="L639" s="3"/>
      <c r="M639" s="6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</row>
    <row r="640" spans="1:37" ht="16.5" customHeight="1">
      <c r="A640" s="2"/>
      <c r="B640" s="11"/>
      <c r="C640" s="2"/>
      <c r="D640" s="3"/>
      <c r="E640" s="3"/>
      <c r="F640" s="2"/>
      <c r="G640" s="12"/>
      <c r="H640" s="12"/>
      <c r="I640" s="13"/>
      <c r="J640" s="13"/>
      <c r="K640" s="15"/>
      <c r="L640" s="3"/>
      <c r="M640" s="6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</row>
    <row r="641" spans="1:37" ht="16.5" customHeight="1">
      <c r="A641" s="2"/>
      <c r="B641" s="11"/>
      <c r="C641" s="2"/>
      <c r="D641" s="3"/>
      <c r="E641" s="3"/>
      <c r="F641" s="2"/>
      <c r="G641" s="12"/>
      <c r="H641" s="12"/>
      <c r="I641" s="13"/>
      <c r="J641" s="13"/>
      <c r="K641" s="15"/>
      <c r="L641" s="3"/>
      <c r="M641" s="6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</row>
    <row r="642" spans="1:37" ht="16.5" customHeight="1">
      <c r="A642" s="2"/>
      <c r="B642" s="11"/>
      <c r="C642" s="2"/>
      <c r="D642" s="3"/>
      <c r="E642" s="3"/>
      <c r="F642" s="2"/>
      <c r="G642" s="12"/>
      <c r="H642" s="12"/>
      <c r="I642" s="13"/>
      <c r="J642" s="13"/>
      <c r="K642" s="15"/>
      <c r="L642" s="3"/>
      <c r="M642" s="6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</row>
    <row r="643" spans="1:37" ht="16.5" customHeight="1">
      <c r="A643" s="2"/>
      <c r="B643" s="11"/>
      <c r="C643" s="2"/>
      <c r="D643" s="3"/>
      <c r="E643" s="3"/>
      <c r="F643" s="2"/>
      <c r="G643" s="12"/>
      <c r="H643" s="12"/>
      <c r="I643" s="13"/>
      <c r="J643" s="13"/>
      <c r="K643" s="15"/>
      <c r="L643" s="3"/>
      <c r="M643" s="6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</row>
    <row r="644" spans="1:37" ht="16.5" customHeight="1">
      <c r="A644" s="2"/>
      <c r="B644" s="11"/>
      <c r="C644" s="2"/>
      <c r="D644" s="3"/>
      <c r="E644" s="3"/>
      <c r="F644" s="2"/>
      <c r="G644" s="12"/>
      <c r="H644" s="12"/>
      <c r="I644" s="13"/>
      <c r="J644" s="13"/>
      <c r="K644" s="15"/>
      <c r="L644" s="3"/>
      <c r="M644" s="6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</row>
    <row r="645" spans="1:37" ht="16.5" customHeight="1">
      <c r="A645" s="2"/>
      <c r="B645" s="11"/>
      <c r="C645" s="2"/>
      <c r="D645" s="3"/>
      <c r="E645" s="3"/>
      <c r="F645" s="2"/>
      <c r="G645" s="12"/>
      <c r="H645" s="12"/>
      <c r="I645" s="13"/>
      <c r="J645" s="13"/>
      <c r="K645" s="15"/>
      <c r="L645" s="3"/>
      <c r="M645" s="6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</row>
    <row r="646" spans="1:37" ht="16.5" customHeight="1">
      <c r="A646" s="2"/>
      <c r="B646" s="11"/>
      <c r="C646" s="2"/>
      <c r="D646" s="3"/>
      <c r="E646" s="3"/>
      <c r="F646" s="2"/>
      <c r="G646" s="12"/>
      <c r="H646" s="12"/>
      <c r="I646" s="13"/>
      <c r="J646" s="13"/>
      <c r="K646" s="15"/>
      <c r="L646" s="3"/>
      <c r="M646" s="6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</row>
    <row r="647" spans="1:37" ht="16.5" customHeight="1">
      <c r="A647" s="2"/>
      <c r="B647" s="11"/>
      <c r="C647" s="2"/>
      <c r="D647" s="3"/>
      <c r="E647" s="3"/>
      <c r="F647" s="2"/>
      <c r="G647" s="12"/>
      <c r="H647" s="12"/>
      <c r="I647" s="13"/>
      <c r="J647" s="13"/>
      <c r="K647" s="15"/>
      <c r="L647" s="3"/>
      <c r="M647" s="6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</row>
    <row r="648" spans="1:37" ht="16.5" customHeight="1">
      <c r="A648" s="2"/>
      <c r="B648" s="11"/>
      <c r="C648" s="2"/>
      <c r="D648" s="3"/>
      <c r="E648" s="3"/>
      <c r="F648" s="2"/>
      <c r="G648" s="12"/>
      <c r="H648" s="12"/>
      <c r="I648" s="13"/>
      <c r="J648" s="13"/>
      <c r="K648" s="15"/>
      <c r="L648" s="3"/>
      <c r="M648" s="6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</row>
    <row r="649" spans="1:37" ht="16.5" customHeight="1">
      <c r="A649" s="2"/>
      <c r="B649" s="11"/>
      <c r="C649" s="2"/>
      <c r="D649" s="3"/>
      <c r="E649" s="3"/>
      <c r="F649" s="2"/>
      <c r="G649" s="12"/>
      <c r="H649" s="12"/>
      <c r="I649" s="13"/>
      <c r="J649" s="13"/>
      <c r="K649" s="15"/>
      <c r="L649" s="3"/>
      <c r="M649" s="6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</row>
    <row r="650" spans="1:37" ht="16.5" customHeight="1">
      <c r="A650" s="2"/>
      <c r="B650" s="11"/>
      <c r="C650" s="2"/>
      <c r="D650" s="3"/>
      <c r="E650" s="3"/>
      <c r="F650" s="2"/>
      <c r="G650" s="12"/>
      <c r="H650" s="12"/>
      <c r="I650" s="13"/>
      <c r="J650" s="13"/>
      <c r="K650" s="15"/>
      <c r="L650" s="3"/>
      <c r="M650" s="6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</row>
    <row r="651" spans="1:37" ht="16.5" customHeight="1">
      <c r="A651" s="2"/>
      <c r="B651" s="11"/>
      <c r="C651" s="2"/>
      <c r="D651" s="3"/>
      <c r="E651" s="3"/>
      <c r="F651" s="2"/>
      <c r="G651" s="12"/>
      <c r="H651" s="12"/>
      <c r="I651" s="13"/>
      <c r="J651" s="13"/>
      <c r="K651" s="15"/>
      <c r="L651" s="3"/>
      <c r="M651" s="6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</row>
    <row r="652" spans="1:37" ht="16.5" customHeight="1">
      <c r="A652" s="2"/>
      <c r="B652" s="11"/>
      <c r="C652" s="2"/>
      <c r="D652" s="3"/>
      <c r="E652" s="3"/>
      <c r="F652" s="2"/>
      <c r="G652" s="12"/>
      <c r="H652" s="12"/>
      <c r="I652" s="13"/>
      <c r="J652" s="13"/>
      <c r="K652" s="15"/>
      <c r="L652" s="3"/>
      <c r="M652" s="6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</row>
    <row r="653" spans="1:37" ht="16.5" customHeight="1">
      <c r="A653" s="2"/>
      <c r="B653" s="11"/>
      <c r="C653" s="2"/>
      <c r="D653" s="3"/>
      <c r="E653" s="3"/>
      <c r="F653" s="2"/>
      <c r="G653" s="12"/>
      <c r="H653" s="12"/>
      <c r="I653" s="13"/>
      <c r="J653" s="13"/>
      <c r="K653" s="15"/>
      <c r="L653" s="3"/>
      <c r="M653" s="6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</row>
    <row r="654" spans="1:37" ht="16.5" customHeight="1">
      <c r="A654" s="2"/>
      <c r="B654" s="11"/>
      <c r="C654" s="2"/>
      <c r="D654" s="3"/>
      <c r="E654" s="3"/>
      <c r="F654" s="2"/>
      <c r="G654" s="12"/>
      <c r="H654" s="12"/>
      <c r="I654" s="13"/>
      <c r="J654" s="13"/>
      <c r="K654" s="15"/>
      <c r="L654" s="3"/>
      <c r="M654" s="6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</row>
    <row r="655" spans="1:37" ht="16.5" customHeight="1">
      <c r="A655" s="2"/>
      <c r="B655" s="11"/>
      <c r="C655" s="2"/>
      <c r="D655" s="3"/>
      <c r="E655" s="3"/>
      <c r="F655" s="2"/>
      <c r="G655" s="12"/>
      <c r="H655" s="12"/>
      <c r="I655" s="13"/>
      <c r="J655" s="13"/>
      <c r="K655" s="15"/>
      <c r="L655" s="3"/>
      <c r="M655" s="6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</row>
    <row r="656" spans="1:37" ht="16.5" customHeight="1">
      <c r="A656" s="2"/>
      <c r="B656" s="11"/>
      <c r="C656" s="2"/>
      <c r="D656" s="3"/>
      <c r="E656" s="3"/>
      <c r="F656" s="2"/>
      <c r="G656" s="12"/>
      <c r="H656" s="12"/>
      <c r="I656" s="13"/>
      <c r="J656" s="13"/>
      <c r="K656" s="15"/>
      <c r="L656" s="3"/>
      <c r="M656" s="6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</row>
    <row r="657" spans="1:37" ht="16.5" customHeight="1">
      <c r="A657" s="2"/>
      <c r="B657" s="11"/>
      <c r="C657" s="2"/>
      <c r="D657" s="3"/>
      <c r="E657" s="3"/>
      <c r="F657" s="2"/>
      <c r="G657" s="12"/>
      <c r="H657" s="12"/>
      <c r="I657" s="13"/>
      <c r="J657" s="13"/>
      <c r="K657" s="15"/>
      <c r="L657" s="3"/>
      <c r="M657" s="6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</row>
    <row r="658" spans="1:37" ht="16.5" customHeight="1">
      <c r="A658" s="2"/>
      <c r="B658" s="11"/>
      <c r="C658" s="2"/>
      <c r="D658" s="3"/>
      <c r="E658" s="3"/>
      <c r="F658" s="2"/>
      <c r="G658" s="12"/>
      <c r="H658" s="12"/>
      <c r="I658" s="13"/>
      <c r="J658" s="13"/>
      <c r="K658" s="15"/>
      <c r="L658" s="3"/>
      <c r="M658" s="6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</row>
    <row r="659" spans="1:37" ht="16.5" customHeight="1">
      <c r="A659" s="2"/>
      <c r="B659" s="11"/>
      <c r="C659" s="2"/>
      <c r="D659" s="3"/>
      <c r="E659" s="3"/>
      <c r="F659" s="2"/>
      <c r="G659" s="12"/>
      <c r="H659" s="12"/>
      <c r="I659" s="13"/>
      <c r="J659" s="13"/>
      <c r="K659" s="15"/>
      <c r="L659" s="3"/>
      <c r="M659" s="6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</row>
    <row r="660" spans="1:37" ht="16.5" customHeight="1">
      <c r="A660" s="2"/>
      <c r="B660" s="11"/>
      <c r="C660" s="2"/>
      <c r="D660" s="3"/>
      <c r="E660" s="3"/>
      <c r="F660" s="2"/>
      <c r="G660" s="12"/>
      <c r="H660" s="12"/>
      <c r="I660" s="13"/>
      <c r="J660" s="13"/>
      <c r="K660" s="15"/>
      <c r="L660" s="3"/>
      <c r="M660" s="6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</row>
    <row r="661" spans="1:37" ht="16.5" customHeight="1">
      <c r="A661" s="2"/>
      <c r="B661" s="11"/>
      <c r="C661" s="2"/>
      <c r="D661" s="3"/>
      <c r="E661" s="3"/>
      <c r="F661" s="2"/>
      <c r="G661" s="12"/>
      <c r="H661" s="12"/>
      <c r="I661" s="13"/>
      <c r="J661" s="13"/>
      <c r="K661" s="15"/>
      <c r="L661" s="3"/>
      <c r="M661" s="6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</row>
    <row r="662" spans="1:37" ht="16.5" customHeight="1">
      <c r="A662" s="2"/>
      <c r="B662" s="11"/>
      <c r="C662" s="2"/>
      <c r="D662" s="3"/>
      <c r="E662" s="3"/>
      <c r="F662" s="2"/>
      <c r="G662" s="12"/>
      <c r="H662" s="12"/>
      <c r="I662" s="13"/>
      <c r="J662" s="13"/>
      <c r="K662" s="15"/>
      <c r="L662" s="3"/>
      <c r="M662" s="6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</row>
    <row r="663" spans="1:37" ht="16.5" customHeight="1">
      <c r="A663" s="2"/>
      <c r="B663" s="11"/>
      <c r="C663" s="2"/>
      <c r="D663" s="3"/>
      <c r="E663" s="3"/>
      <c r="F663" s="2"/>
      <c r="G663" s="12"/>
      <c r="H663" s="12"/>
      <c r="I663" s="13"/>
      <c r="J663" s="13"/>
      <c r="K663" s="15"/>
      <c r="L663" s="3"/>
      <c r="M663" s="6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</row>
    <row r="664" spans="1:37" ht="16.5" customHeight="1">
      <c r="A664" s="2"/>
      <c r="B664" s="11"/>
      <c r="C664" s="2"/>
      <c r="D664" s="3"/>
      <c r="E664" s="3"/>
      <c r="F664" s="2"/>
      <c r="G664" s="12"/>
      <c r="H664" s="12"/>
      <c r="I664" s="13"/>
      <c r="J664" s="13"/>
      <c r="K664" s="15"/>
      <c r="L664" s="3"/>
      <c r="M664" s="6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</row>
    <row r="665" spans="1:37" ht="16.5" customHeight="1">
      <c r="A665" s="2"/>
      <c r="B665" s="11"/>
      <c r="C665" s="2"/>
      <c r="D665" s="3"/>
      <c r="E665" s="3"/>
      <c r="F665" s="2"/>
      <c r="G665" s="12"/>
      <c r="H665" s="12"/>
      <c r="I665" s="13"/>
      <c r="J665" s="13"/>
      <c r="K665" s="15"/>
      <c r="L665" s="3"/>
      <c r="M665" s="6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</row>
    <row r="666" spans="1:37" ht="16.5" customHeight="1">
      <c r="A666" s="2"/>
      <c r="B666" s="11"/>
      <c r="C666" s="2"/>
      <c r="D666" s="3"/>
      <c r="E666" s="3"/>
      <c r="F666" s="2"/>
      <c r="G666" s="12"/>
      <c r="H666" s="12"/>
      <c r="I666" s="13"/>
      <c r="J666" s="13"/>
      <c r="K666" s="15"/>
      <c r="L666" s="3"/>
      <c r="M666" s="6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</row>
    <row r="667" spans="1:37" ht="16.5" customHeight="1">
      <c r="A667" s="2"/>
      <c r="B667" s="11"/>
      <c r="C667" s="2"/>
      <c r="D667" s="3"/>
      <c r="E667" s="3"/>
      <c r="F667" s="2"/>
      <c r="G667" s="12"/>
      <c r="H667" s="12"/>
      <c r="I667" s="13"/>
      <c r="J667" s="13"/>
      <c r="K667" s="15"/>
      <c r="L667" s="3"/>
      <c r="M667" s="6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</row>
    <row r="668" spans="1:37" ht="16.5" customHeight="1">
      <c r="A668" s="2"/>
      <c r="B668" s="11"/>
      <c r="C668" s="2"/>
      <c r="D668" s="3"/>
      <c r="E668" s="3"/>
      <c r="F668" s="2"/>
      <c r="G668" s="12"/>
      <c r="H668" s="12"/>
      <c r="I668" s="13"/>
      <c r="J668" s="13"/>
      <c r="K668" s="15"/>
      <c r="L668" s="3"/>
      <c r="M668" s="6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</row>
    <row r="669" spans="1:37" ht="16.5" customHeight="1">
      <c r="A669" s="2"/>
      <c r="B669" s="11"/>
      <c r="C669" s="2"/>
      <c r="D669" s="3"/>
      <c r="E669" s="3"/>
      <c r="F669" s="2"/>
      <c r="G669" s="12"/>
      <c r="H669" s="12"/>
      <c r="I669" s="13"/>
      <c r="J669" s="13"/>
      <c r="K669" s="15"/>
      <c r="L669" s="3"/>
      <c r="M669" s="6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</row>
    <row r="670" spans="1:37" ht="16.5" customHeight="1">
      <c r="A670" s="2"/>
      <c r="B670" s="11"/>
      <c r="C670" s="2"/>
      <c r="D670" s="3"/>
      <c r="E670" s="3"/>
      <c r="F670" s="2"/>
      <c r="G670" s="12"/>
      <c r="H670" s="12"/>
      <c r="I670" s="13"/>
      <c r="J670" s="13"/>
      <c r="K670" s="15"/>
      <c r="L670" s="3"/>
      <c r="M670" s="6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</row>
    <row r="671" spans="1:37" ht="16.5" customHeight="1">
      <c r="A671" s="2"/>
      <c r="B671" s="11"/>
      <c r="C671" s="2"/>
      <c r="D671" s="3"/>
      <c r="E671" s="3"/>
      <c r="F671" s="2"/>
      <c r="G671" s="12"/>
      <c r="H671" s="12"/>
      <c r="I671" s="13"/>
      <c r="J671" s="13"/>
      <c r="K671" s="15"/>
      <c r="L671" s="3"/>
      <c r="M671" s="6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</row>
    <row r="672" spans="1:37" ht="16.5" customHeight="1">
      <c r="A672" s="2"/>
      <c r="B672" s="11"/>
      <c r="C672" s="2"/>
      <c r="D672" s="3"/>
      <c r="E672" s="3"/>
      <c r="F672" s="2"/>
      <c r="G672" s="12"/>
      <c r="H672" s="12"/>
      <c r="I672" s="13"/>
      <c r="J672" s="13"/>
      <c r="K672" s="15"/>
      <c r="L672" s="3"/>
      <c r="M672" s="6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</row>
    <row r="673" spans="1:37" ht="16.5" customHeight="1">
      <c r="A673" s="2"/>
      <c r="B673" s="11"/>
      <c r="C673" s="2"/>
      <c r="D673" s="3"/>
      <c r="E673" s="3"/>
      <c r="F673" s="2"/>
      <c r="G673" s="12"/>
      <c r="H673" s="12"/>
      <c r="I673" s="13"/>
      <c r="J673" s="13"/>
      <c r="K673" s="15"/>
      <c r="L673" s="3"/>
      <c r="M673" s="6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</row>
    <row r="674" spans="1:37" ht="16.5" customHeight="1">
      <c r="A674" s="2"/>
      <c r="B674" s="11"/>
      <c r="C674" s="2"/>
      <c r="D674" s="3"/>
      <c r="E674" s="3"/>
      <c r="F674" s="2"/>
      <c r="G674" s="12"/>
      <c r="H674" s="12"/>
      <c r="I674" s="13"/>
      <c r="J674" s="13"/>
      <c r="K674" s="15"/>
      <c r="L674" s="3"/>
      <c r="M674" s="6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</row>
    <row r="675" spans="1:37" ht="16.5" customHeight="1">
      <c r="A675" s="2"/>
      <c r="B675" s="11"/>
      <c r="C675" s="2"/>
      <c r="D675" s="3"/>
      <c r="E675" s="3"/>
      <c r="F675" s="2"/>
      <c r="G675" s="12"/>
      <c r="H675" s="12"/>
      <c r="I675" s="13"/>
      <c r="J675" s="13"/>
      <c r="K675" s="15"/>
      <c r="L675" s="3"/>
      <c r="M675" s="6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</row>
    <row r="676" spans="1:37" ht="16.5" customHeight="1">
      <c r="A676" s="2"/>
      <c r="B676" s="11"/>
      <c r="C676" s="2"/>
      <c r="D676" s="3"/>
      <c r="E676" s="3"/>
      <c r="F676" s="2"/>
      <c r="G676" s="12"/>
      <c r="H676" s="12"/>
      <c r="I676" s="13"/>
      <c r="J676" s="13"/>
      <c r="K676" s="15"/>
      <c r="L676" s="3"/>
      <c r="M676" s="6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</row>
    <row r="677" spans="1:37" ht="16.5" customHeight="1">
      <c r="A677" s="2"/>
      <c r="B677" s="11"/>
      <c r="C677" s="2"/>
      <c r="D677" s="3"/>
      <c r="E677" s="3"/>
      <c r="F677" s="2"/>
      <c r="G677" s="12"/>
      <c r="H677" s="12"/>
      <c r="I677" s="13"/>
      <c r="J677" s="13"/>
      <c r="K677" s="15"/>
      <c r="L677" s="3"/>
      <c r="M677" s="6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</row>
    <row r="678" spans="1:37" ht="16.5" customHeight="1">
      <c r="A678" s="2"/>
      <c r="B678" s="11"/>
      <c r="C678" s="2"/>
      <c r="D678" s="3"/>
      <c r="E678" s="3"/>
      <c r="F678" s="2"/>
      <c r="G678" s="12"/>
      <c r="H678" s="12"/>
      <c r="I678" s="13"/>
      <c r="J678" s="13"/>
      <c r="K678" s="15"/>
      <c r="L678" s="3"/>
      <c r="M678" s="6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</row>
    <row r="679" spans="1:37" ht="16.5" customHeight="1">
      <c r="A679" s="2"/>
      <c r="B679" s="11"/>
      <c r="C679" s="2"/>
      <c r="D679" s="3"/>
      <c r="E679" s="3"/>
      <c r="F679" s="2"/>
      <c r="G679" s="12"/>
      <c r="H679" s="12"/>
      <c r="I679" s="13"/>
      <c r="J679" s="13"/>
      <c r="K679" s="15"/>
      <c r="L679" s="3"/>
      <c r="M679" s="6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</row>
    <row r="680" spans="1:37" ht="16.5" customHeight="1">
      <c r="A680" s="2"/>
      <c r="B680" s="11"/>
      <c r="C680" s="2"/>
      <c r="D680" s="3"/>
      <c r="E680" s="3"/>
      <c r="F680" s="2"/>
      <c r="G680" s="12"/>
      <c r="H680" s="12"/>
      <c r="I680" s="13"/>
      <c r="J680" s="13"/>
      <c r="K680" s="15"/>
      <c r="L680" s="3"/>
      <c r="M680" s="6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</row>
    <row r="681" spans="1:37" ht="16.5" customHeight="1">
      <c r="A681" s="2"/>
      <c r="B681" s="11"/>
      <c r="C681" s="2"/>
      <c r="D681" s="3"/>
      <c r="E681" s="3"/>
      <c r="F681" s="2"/>
      <c r="G681" s="12"/>
      <c r="H681" s="12"/>
      <c r="I681" s="13"/>
      <c r="J681" s="13"/>
      <c r="K681" s="15"/>
      <c r="L681" s="3"/>
      <c r="M681" s="6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</row>
    <row r="682" spans="1:37" ht="16.5" customHeight="1">
      <c r="A682" s="2"/>
      <c r="B682" s="11"/>
      <c r="C682" s="2"/>
      <c r="D682" s="3"/>
      <c r="E682" s="3"/>
      <c r="F682" s="2"/>
      <c r="G682" s="12"/>
      <c r="H682" s="12"/>
      <c r="I682" s="13"/>
      <c r="J682" s="13"/>
      <c r="K682" s="15"/>
      <c r="L682" s="3"/>
      <c r="M682" s="6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</row>
    <row r="683" spans="1:37" ht="16.5" customHeight="1">
      <c r="A683" s="2"/>
      <c r="B683" s="11"/>
      <c r="C683" s="2"/>
      <c r="D683" s="3"/>
      <c r="E683" s="3"/>
      <c r="F683" s="2"/>
      <c r="G683" s="12"/>
      <c r="H683" s="12"/>
      <c r="I683" s="13"/>
      <c r="J683" s="13"/>
      <c r="K683" s="15"/>
      <c r="L683" s="3"/>
      <c r="M683" s="6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</row>
    <row r="684" spans="1:37" ht="16.5" customHeight="1">
      <c r="A684" s="2"/>
      <c r="B684" s="11"/>
      <c r="C684" s="2"/>
      <c r="D684" s="3"/>
      <c r="E684" s="3"/>
      <c r="F684" s="2"/>
      <c r="G684" s="12"/>
      <c r="H684" s="12"/>
      <c r="I684" s="13"/>
      <c r="J684" s="13"/>
      <c r="K684" s="15"/>
      <c r="L684" s="3"/>
      <c r="M684" s="6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</row>
    <row r="685" spans="1:37" ht="16.5" customHeight="1">
      <c r="A685" s="2"/>
      <c r="B685" s="11"/>
      <c r="C685" s="2"/>
      <c r="D685" s="3"/>
      <c r="E685" s="3"/>
      <c r="F685" s="2"/>
      <c r="G685" s="12"/>
      <c r="H685" s="12"/>
      <c r="I685" s="13"/>
      <c r="J685" s="13"/>
      <c r="K685" s="15"/>
      <c r="L685" s="3"/>
      <c r="M685" s="6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</row>
    <row r="686" spans="1:37" ht="16.5" customHeight="1">
      <c r="A686" s="2"/>
      <c r="B686" s="11"/>
      <c r="C686" s="2"/>
      <c r="D686" s="3"/>
      <c r="E686" s="3"/>
      <c r="F686" s="2"/>
      <c r="G686" s="12"/>
      <c r="H686" s="12"/>
      <c r="I686" s="13"/>
      <c r="J686" s="13"/>
      <c r="K686" s="15"/>
      <c r="L686" s="3"/>
      <c r="M686" s="6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</row>
    <row r="687" spans="1:37" ht="16.5" customHeight="1">
      <c r="A687" s="2"/>
      <c r="B687" s="11"/>
      <c r="C687" s="2"/>
      <c r="D687" s="3"/>
      <c r="E687" s="3"/>
      <c r="F687" s="2"/>
      <c r="G687" s="12"/>
      <c r="H687" s="12"/>
      <c r="I687" s="13"/>
      <c r="J687" s="13"/>
      <c r="K687" s="15"/>
      <c r="L687" s="3"/>
      <c r="M687" s="6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</row>
    <row r="688" spans="1:37" ht="16.5" customHeight="1">
      <c r="A688" s="2"/>
      <c r="B688" s="11"/>
      <c r="C688" s="2"/>
      <c r="D688" s="3"/>
      <c r="E688" s="3"/>
      <c r="F688" s="2"/>
      <c r="G688" s="12"/>
      <c r="H688" s="12"/>
      <c r="I688" s="13"/>
      <c r="J688" s="13"/>
      <c r="K688" s="15"/>
      <c r="L688" s="3"/>
      <c r="M688" s="6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</row>
    <row r="689" spans="1:37" ht="16.5" customHeight="1">
      <c r="A689" s="2"/>
      <c r="B689" s="11"/>
      <c r="C689" s="2"/>
      <c r="D689" s="3"/>
      <c r="E689" s="3"/>
      <c r="F689" s="2"/>
      <c r="G689" s="12"/>
      <c r="H689" s="12"/>
      <c r="I689" s="13"/>
      <c r="J689" s="13"/>
      <c r="K689" s="15"/>
      <c r="L689" s="3"/>
      <c r="M689" s="6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</row>
    <row r="690" spans="1:37" ht="16.5" customHeight="1">
      <c r="A690" s="2"/>
      <c r="B690" s="11"/>
      <c r="C690" s="2"/>
      <c r="D690" s="3"/>
      <c r="E690" s="3"/>
      <c r="F690" s="2"/>
      <c r="G690" s="12"/>
      <c r="H690" s="12"/>
      <c r="I690" s="13"/>
      <c r="J690" s="13"/>
      <c r="K690" s="15"/>
      <c r="L690" s="3"/>
      <c r="M690" s="6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</row>
    <row r="691" spans="1:37" ht="16.5" customHeight="1">
      <c r="A691" s="2"/>
      <c r="B691" s="11"/>
      <c r="C691" s="2"/>
      <c r="D691" s="3"/>
      <c r="E691" s="3"/>
      <c r="F691" s="2"/>
      <c r="G691" s="12"/>
      <c r="H691" s="12"/>
      <c r="I691" s="13"/>
      <c r="J691" s="13"/>
      <c r="K691" s="15"/>
      <c r="L691" s="3"/>
      <c r="M691" s="6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</row>
    <row r="692" spans="1:37" ht="16.5" customHeight="1">
      <c r="A692" s="2"/>
      <c r="B692" s="11"/>
      <c r="C692" s="2"/>
      <c r="D692" s="3"/>
      <c r="E692" s="3"/>
      <c r="F692" s="2"/>
      <c r="G692" s="12"/>
      <c r="H692" s="12"/>
      <c r="I692" s="13"/>
      <c r="J692" s="13"/>
      <c r="K692" s="15"/>
      <c r="L692" s="3"/>
      <c r="M692" s="6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</row>
    <row r="693" spans="1:37" ht="16.5" customHeight="1">
      <c r="A693" s="2"/>
      <c r="B693" s="11"/>
      <c r="C693" s="2"/>
      <c r="D693" s="3"/>
      <c r="E693" s="3"/>
      <c r="F693" s="2"/>
      <c r="G693" s="12"/>
      <c r="H693" s="12"/>
      <c r="I693" s="13"/>
      <c r="J693" s="13"/>
      <c r="K693" s="15"/>
      <c r="L693" s="3"/>
      <c r="M693" s="6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</row>
    <row r="694" spans="1:37" ht="16.5" customHeight="1">
      <c r="A694" s="2"/>
      <c r="B694" s="11"/>
      <c r="C694" s="2"/>
      <c r="D694" s="3"/>
      <c r="E694" s="3"/>
      <c r="F694" s="2"/>
      <c r="G694" s="12"/>
      <c r="H694" s="12"/>
      <c r="I694" s="13"/>
      <c r="J694" s="13"/>
      <c r="K694" s="15"/>
      <c r="L694" s="3"/>
      <c r="M694" s="6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</row>
    <row r="695" spans="1:37" ht="16.5" customHeight="1">
      <c r="A695" s="2"/>
      <c r="B695" s="11"/>
      <c r="C695" s="2"/>
      <c r="D695" s="3"/>
      <c r="E695" s="3"/>
      <c r="F695" s="2"/>
      <c r="G695" s="12"/>
      <c r="H695" s="12"/>
      <c r="I695" s="13"/>
      <c r="J695" s="13"/>
      <c r="K695" s="15"/>
      <c r="L695" s="3"/>
      <c r="M695" s="6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</row>
    <row r="696" spans="1:37" ht="16.5" customHeight="1">
      <c r="A696" s="2"/>
      <c r="B696" s="11"/>
      <c r="C696" s="2"/>
      <c r="D696" s="3"/>
      <c r="E696" s="3"/>
      <c r="F696" s="2"/>
      <c r="G696" s="12"/>
      <c r="H696" s="12"/>
      <c r="I696" s="13"/>
      <c r="J696" s="13"/>
      <c r="K696" s="15"/>
      <c r="L696" s="3"/>
      <c r="M696" s="6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</row>
    <row r="697" spans="1:37" ht="16.5" customHeight="1">
      <c r="A697" s="2"/>
      <c r="B697" s="11"/>
      <c r="C697" s="2"/>
      <c r="D697" s="3"/>
      <c r="E697" s="3"/>
      <c r="F697" s="2"/>
      <c r="G697" s="12"/>
      <c r="H697" s="12"/>
      <c r="I697" s="13"/>
      <c r="J697" s="13"/>
      <c r="K697" s="15"/>
      <c r="L697" s="3"/>
      <c r="M697" s="6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</row>
    <row r="698" spans="1:37" ht="16.5" customHeight="1">
      <c r="A698" s="2"/>
      <c r="B698" s="11"/>
      <c r="C698" s="2"/>
      <c r="D698" s="3"/>
      <c r="E698" s="3"/>
      <c r="F698" s="2"/>
      <c r="G698" s="12"/>
      <c r="H698" s="12"/>
      <c r="I698" s="13"/>
      <c r="J698" s="13"/>
      <c r="K698" s="15"/>
      <c r="L698" s="3"/>
      <c r="M698" s="6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</row>
    <row r="699" spans="1:37" ht="16.5" customHeight="1">
      <c r="A699" s="2"/>
      <c r="B699" s="11"/>
      <c r="C699" s="2"/>
      <c r="D699" s="3"/>
      <c r="E699" s="3"/>
      <c r="F699" s="2"/>
      <c r="G699" s="12"/>
      <c r="H699" s="12"/>
      <c r="I699" s="13"/>
      <c r="J699" s="13"/>
      <c r="K699" s="15"/>
      <c r="L699" s="3"/>
      <c r="M699" s="6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</row>
    <row r="700" spans="1:37" ht="16.5" customHeight="1">
      <c r="A700" s="2"/>
      <c r="B700" s="11"/>
      <c r="C700" s="2"/>
      <c r="D700" s="3"/>
      <c r="E700" s="3"/>
      <c r="F700" s="2"/>
      <c r="G700" s="12"/>
      <c r="H700" s="12"/>
      <c r="I700" s="13"/>
      <c r="J700" s="13"/>
      <c r="K700" s="15"/>
      <c r="L700" s="3"/>
      <c r="M700" s="6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</row>
    <row r="701" spans="1:37" ht="16.5" customHeight="1">
      <c r="A701" s="2"/>
      <c r="B701" s="11"/>
      <c r="C701" s="2"/>
      <c r="D701" s="3"/>
      <c r="E701" s="3"/>
      <c r="F701" s="2"/>
      <c r="G701" s="12"/>
      <c r="H701" s="12"/>
      <c r="I701" s="13"/>
      <c r="J701" s="13"/>
      <c r="K701" s="15"/>
      <c r="L701" s="3"/>
      <c r="M701" s="6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</row>
    <row r="702" spans="1:37" ht="16.5" customHeight="1">
      <c r="A702" s="2"/>
      <c r="B702" s="11"/>
      <c r="C702" s="2"/>
      <c r="D702" s="3"/>
      <c r="E702" s="3"/>
      <c r="F702" s="2"/>
      <c r="G702" s="12"/>
      <c r="H702" s="12"/>
      <c r="I702" s="13"/>
      <c r="J702" s="13"/>
      <c r="K702" s="15"/>
      <c r="L702" s="3"/>
      <c r="M702" s="6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</row>
    <row r="703" spans="1:37" ht="16.5" customHeight="1">
      <c r="A703" s="2"/>
      <c r="B703" s="11"/>
      <c r="C703" s="2"/>
      <c r="D703" s="3"/>
      <c r="E703" s="3"/>
      <c r="F703" s="2"/>
      <c r="G703" s="12"/>
      <c r="H703" s="12"/>
      <c r="I703" s="13"/>
      <c r="J703" s="13"/>
      <c r="K703" s="15"/>
      <c r="L703" s="3"/>
      <c r="M703" s="6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</row>
    <row r="704" spans="1:37" ht="16.5" customHeight="1">
      <c r="A704" s="2"/>
      <c r="B704" s="11"/>
      <c r="C704" s="2"/>
      <c r="D704" s="3"/>
      <c r="E704" s="3"/>
      <c r="F704" s="2"/>
      <c r="G704" s="12"/>
      <c r="H704" s="12"/>
      <c r="I704" s="13"/>
      <c r="J704" s="13"/>
      <c r="K704" s="15"/>
      <c r="L704" s="3"/>
      <c r="M704" s="6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</row>
    <row r="705" spans="1:37" ht="16.5" customHeight="1">
      <c r="A705" s="2"/>
      <c r="B705" s="11"/>
      <c r="C705" s="2"/>
      <c r="D705" s="3"/>
      <c r="E705" s="3"/>
      <c r="F705" s="2"/>
      <c r="G705" s="12"/>
      <c r="H705" s="12"/>
      <c r="I705" s="13"/>
      <c r="J705" s="13"/>
      <c r="K705" s="15"/>
      <c r="L705" s="3"/>
      <c r="M705" s="6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</row>
    <row r="706" spans="1:37" ht="16.5" customHeight="1">
      <c r="A706" s="2"/>
      <c r="B706" s="11"/>
      <c r="C706" s="2"/>
      <c r="D706" s="3"/>
      <c r="E706" s="3"/>
      <c r="F706" s="2"/>
      <c r="G706" s="12"/>
      <c r="H706" s="12"/>
      <c r="I706" s="13"/>
      <c r="J706" s="13"/>
      <c r="K706" s="15"/>
      <c r="L706" s="3"/>
      <c r="M706" s="6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</row>
    <row r="707" spans="1:37" ht="16.5" customHeight="1">
      <c r="A707" s="2"/>
      <c r="B707" s="11"/>
      <c r="C707" s="2"/>
      <c r="D707" s="3"/>
      <c r="E707" s="3"/>
      <c r="F707" s="2"/>
      <c r="G707" s="12"/>
      <c r="H707" s="12"/>
      <c r="I707" s="13"/>
      <c r="J707" s="13"/>
      <c r="K707" s="15"/>
      <c r="L707" s="3"/>
      <c r="M707" s="6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</row>
    <row r="708" spans="1:37" ht="16.5" customHeight="1">
      <c r="A708" s="2"/>
      <c r="B708" s="11"/>
      <c r="C708" s="2"/>
      <c r="D708" s="3"/>
      <c r="E708" s="3"/>
      <c r="F708" s="2"/>
      <c r="G708" s="12"/>
      <c r="H708" s="12"/>
      <c r="I708" s="13"/>
      <c r="J708" s="13"/>
      <c r="K708" s="15"/>
      <c r="L708" s="3"/>
      <c r="M708" s="6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</row>
    <row r="709" spans="1:37" ht="16.5" customHeight="1">
      <c r="A709" s="2"/>
      <c r="B709" s="11"/>
      <c r="C709" s="2"/>
      <c r="D709" s="3"/>
      <c r="E709" s="3"/>
      <c r="F709" s="2"/>
      <c r="G709" s="12"/>
      <c r="H709" s="12"/>
      <c r="I709" s="13"/>
      <c r="J709" s="13"/>
      <c r="K709" s="15"/>
      <c r="L709" s="3"/>
      <c r="M709" s="6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</row>
    <row r="710" spans="1:37" ht="16.5" customHeight="1">
      <c r="A710" s="2"/>
      <c r="B710" s="11"/>
      <c r="C710" s="2"/>
      <c r="D710" s="3"/>
      <c r="E710" s="3"/>
      <c r="F710" s="2"/>
      <c r="G710" s="12"/>
      <c r="H710" s="12"/>
      <c r="I710" s="13"/>
      <c r="J710" s="13"/>
      <c r="K710" s="15"/>
      <c r="L710" s="3"/>
      <c r="M710" s="6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</row>
    <row r="711" spans="1:37" ht="16.5" customHeight="1">
      <c r="A711" s="2"/>
      <c r="B711" s="11"/>
      <c r="C711" s="2"/>
      <c r="D711" s="3"/>
      <c r="E711" s="3"/>
      <c r="F711" s="2"/>
      <c r="G711" s="12"/>
      <c r="H711" s="12"/>
      <c r="I711" s="13"/>
      <c r="J711" s="13"/>
      <c r="K711" s="15"/>
      <c r="L711" s="3"/>
      <c r="M711" s="6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</row>
    <row r="712" spans="1:37" ht="16.5" customHeight="1">
      <c r="A712" s="2"/>
      <c r="B712" s="11"/>
      <c r="C712" s="2"/>
      <c r="D712" s="3"/>
      <c r="E712" s="3"/>
      <c r="F712" s="2"/>
      <c r="G712" s="12"/>
      <c r="H712" s="12"/>
      <c r="I712" s="13"/>
      <c r="J712" s="13"/>
      <c r="K712" s="15"/>
      <c r="L712" s="3"/>
      <c r="M712" s="6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</row>
    <row r="713" spans="1:37" ht="16.5" customHeight="1">
      <c r="A713" s="2"/>
      <c r="B713" s="11"/>
      <c r="C713" s="2"/>
      <c r="D713" s="3"/>
      <c r="E713" s="3"/>
      <c r="F713" s="2"/>
      <c r="G713" s="12"/>
      <c r="H713" s="12"/>
      <c r="I713" s="13"/>
      <c r="J713" s="13"/>
      <c r="K713" s="15"/>
      <c r="L713" s="3"/>
      <c r="M713" s="6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</row>
    <row r="714" spans="1:37" ht="16.5" customHeight="1">
      <c r="A714" s="2"/>
      <c r="B714" s="11"/>
      <c r="C714" s="2"/>
      <c r="D714" s="3"/>
      <c r="E714" s="3"/>
      <c r="F714" s="2"/>
      <c r="G714" s="12"/>
      <c r="H714" s="12"/>
      <c r="I714" s="13"/>
      <c r="J714" s="13"/>
      <c r="K714" s="15"/>
      <c r="L714" s="3"/>
      <c r="M714" s="6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</row>
    <row r="715" spans="1:37" ht="16.5" customHeight="1">
      <c r="A715" s="2"/>
      <c r="B715" s="11"/>
      <c r="C715" s="2"/>
      <c r="D715" s="3"/>
      <c r="E715" s="3"/>
      <c r="F715" s="2"/>
      <c r="G715" s="12"/>
      <c r="H715" s="12"/>
      <c r="I715" s="13"/>
      <c r="J715" s="13"/>
      <c r="K715" s="15"/>
      <c r="L715" s="3"/>
      <c r="M715" s="6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</row>
    <row r="716" spans="1:37" ht="16.5" customHeight="1">
      <c r="A716" s="2"/>
      <c r="B716" s="11"/>
      <c r="C716" s="2"/>
      <c r="D716" s="3"/>
      <c r="E716" s="3"/>
      <c r="F716" s="2"/>
      <c r="G716" s="12"/>
      <c r="H716" s="12"/>
      <c r="I716" s="13"/>
      <c r="J716" s="13"/>
      <c r="K716" s="15"/>
      <c r="L716" s="3"/>
      <c r="M716" s="6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</row>
    <row r="717" spans="1:37" ht="16.5" customHeight="1">
      <c r="A717" s="2"/>
      <c r="B717" s="11"/>
      <c r="C717" s="2"/>
      <c r="D717" s="3"/>
      <c r="E717" s="3"/>
      <c r="F717" s="2"/>
      <c r="G717" s="12"/>
      <c r="H717" s="12"/>
      <c r="I717" s="13"/>
      <c r="J717" s="13"/>
      <c r="K717" s="15"/>
      <c r="L717" s="3"/>
      <c r="M717" s="6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</row>
    <row r="718" spans="1:37" ht="16.5" customHeight="1">
      <c r="A718" s="2"/>
      <c r="B718" s="11"/>
      <c r="C718" s="2"/>
      <c r="D718" s="3"/>
      <c r="E718" s="3"/>
      <c r="F718" s="2"/>
      <c r="G718" s="12"/>
      <c r="H718" s="12"/>
      <c r="I718" s="13"/>
      <c r="J718" s="13"/>
      <c r="K718" s="15"/>
      <c r="L718" s="3"/>
      <c r="M718" s="6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</row>
    <row r="719" spans="1:37" ht="16.5" customHeight="1">
      <c r="A719" s="2"/>
      <c r="B719" s="11"/>
      <c r="C719" s="2"/>
      <c r="D719" s="3"/>
      <c r="E719" s="3"/>
      <c r="F719" s="2"/>
      <c r="G719" s="12"/>
      <c r="H719" s="12"/>
      <c r="I719" s="13"/>
      <c r="J719" s="13"/>
      <c r="K719" s="15"/>
      <c r="L719" s="3"/>
      <c r="M719" s="6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</row>
    <row r="720" spans="1:37" ht="16.5" customHeight="1">
      <c r="A720" s="2"/>
      <c r="B720" s="11"/>
      <c r="C720" s="2"/>
      <c r="D720" s="3"/>
      <c r="E720" s="3"/>
      <c r="F720" s="2"/>
      <c r="G720" s="12"/>
      <c r="H720" s="12"/>
      <c r="I720" s="13"/>
      <c r="J720" s="13"/>
      <c r="K720" s="15"/>
      <c r="L720" s="3"/>
      <c r="M720" s="6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</row>
    <row r="721" spans="1:37" ht="16.5" customHeight="1">
      <c r="A721" s="2"/>
      <c r="B721" s="11"/>
      <c r="C721" s="2"/>
      <c r="D721" s="3"/>
      <c r="E721" s="3"/>
      <c r="F721" s="2"/>
      <c r="G721" s="12"/>
      <c r="H721" s="12"/>
      <c r="I721" s="13"/>
      <c r="J721" s="13"/>
      <c r="K721" s="15"/>
      <c r="L721" s="3"/>
      <c r="M721" s="6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</row>
    <row r="722" spans="1:37" ht="16.5" customHeight="1">
      <c r="A722" s="2"/>
      <c r="B722" s="11"/>
      <c r="C722" s="2"/>
      <c r="D722" s="3"/>
      <c r="E722" s="3"/>
      <c r="F722" s="2"/>
      <c r="G722" s="12"/>
      <c r="H722" s="12"/>
      <c r="I722" s="13"/>
      <c r="J722" s="13"/>
      <c r="K722" s="15"/>
      <c r="L722" s="3"/>
      <c r="M722" s="6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</row>
    <row r="723" spans="1:37" ht="16.5" customHeight="1">
      <c r="A723" s="2"/>
      <c r="B723" s="11"/>
      <c r="C723" s="2"/>
      <c r="D723" s="3"/>
      <c r="E723" s="3"/>
      <c r="F723" s="2"/>
      <c r="G723" s="12"/>
      <c r="H723" s="12"/>
      <c r="I723" s="13"/>
      <c r="J723" s="13"/>
      <c r="K723" s="15"/>
      <c r="L723" s="3"/>
      <c r="M723" s="6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</row>
    <row r="724" spans="1:37" ht="16.5" customHeight="1">
      <c r="A724" s="2"/>
      <c r="B724" s="11"/>
      <c r="C724" s="2"/>
      <c r="D724" s="3"/>
      <c r="E724" s="3"/>
      <c r="F724" s="2"/>
      <c r="G724" s="12"/>
      <c r="H724" s="12"/>
      <c r="I724" s="13"/>
      <c r="J724" s="13"/>
      <c r="K724" s="15"/>
      <c r="L724" s="3"/>
      <c r="M724" s="6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</row>
    <row r="725" spans="1:37" ht="16.5" customHeight="1">
      <c r="A725" s="2"/>
      <c r="B725" s="11"/>
      <c r="C725" s="2"/>
      <c r="D725" s="3"/>
      <c r="E725" s="3"/>
      <c r="F725" s="2"/>
      <c r="G725" s="12"/>
      <c r="H725" s="12"/>
      <c r="I725" s="13"/>
      <c r="J725" s="13"/>
      <c r="K725" s="15"/>
      <c r="L725" s="3"/>
      <c r="M725" s="6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</row>
    <row r="726" spans="1:37" ht="16.5" customHeight="1">
      <c r="A726" s="2"/>
      <c r="B726" s="11"/>
      <c r="C726" s="2"/>
      <c r="D726" s="3"/>
      <c r="E726" s="3"/>
      <c r="F726" s="2"/>
      <c r="G726" s="12"/>
      <c r="H726" s="12"/>
      <c r="I726" s="13"/>
      <c r="J726" s="13"/>
      <c r="K726" s="15"/>
      <c r="L726" s="3"/>
      <c r="M726" s="6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</row>
    <row r="727" spans="1:37" ht="16.5" customHeight="1">
      <c r="A727" s="2"/>
      <c r="B727" s="11"/>
      <c r="C727" s="2"/>
      <c r="D727" s="3"/>
      <c r="E727" s="3"/>
      <c r="F727" s="2"/>
      <c r="G727" s="12"/>
      <c r="H727" s="12"/>
      <c r="I727" s="13"/>
      <c r="J727" s="13"/>
      <c r="K727" s="15"/>
      <c r="L727" s="3"/>
      <c r="M727" s="6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</row>
    <row r="728" spans="1:37" ht="16.5" customHeight="1">
      <c r="A728" s="2"/>
      <c r="B728" s="11"/>
      <c r="C728" s="2"/>
      <c r="D728" s="3"/>
      <c r="E728" s="3"/>
      <c r="F728" s="2"/>
      <c r="G728" s="12"/>
      <c r="H728" s="12"/>
      <c r="I728" s="13"/>
      <c r="J728" s="13"/>
      <c r="K728" s="15"/>
      <c r="L728" s="3"/>
      <c r="M728" s="6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</row>
    <row r="729" spans="1:37" ht="16.5" customHeight="1">
      <c r="A729" s="2"/>
      <c r="B729" s="11"/>
      <c r="C729" s="2"/>
      <c r="D729" s="3"/>
      <c r="E729" s="3"/>
      <c r="F729" s="2"/>
      <c r="G729" s="12"/>
      <c r="H729" s="12"/>
      <c r="I729" s="13"/>
      <c r="J729" s="13"/>
      <c r="K729" s="15"/>
      <c r="L729" s="3"/>
      <c r="M729" s="6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</row>
    <row r="730" spans="1:37" ht="16.5" customHeight="1">
      <c r="A730" s="2"/>
      <c r="B730" s="11"/>
      <c r="C730" s="2"/>
      <c r="D730" s="3"/>
      <c r="E730" s="3"/>
      <c r="F730" s="2"/>
      <c r="G730" s="12"/>
      <c r="H730" s="12"/>
      <c r="I730" s="13"/>
      <c r="J730" s="13"/>
      <c r="K730" s="15"/>
      <c r="L730" s="3"/>
      <c r="M730" s="6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</row>
    <row r="731" spans="1:37" ht="16.5" customHeight="1">
      <c r="A731" s="2"/>
      <c r="B731" s="11"/>
      <c r="C731" s="2"/>
      <c r="D731" s="3"/>
      <c r="E731" s="3"/>
      <c r="F731" s="2"/>
      <c r="G731" s="12"/>
      <c r="H731" s="12"/>
      <c r="I731" s="13"/>
      <c r="J731" s="13"/>
      <c r="K731" s="15"/>
      <c r="L731" s="3"/>
      <c r="M731" s="6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</row>
    <row r="732" spans="1:37" ht="16.5" customHeight="1">
      <c r="A732" s="2"/>
      <c r="B732" s="11"/>
      <c r="C732" s="2"/>
      <c r="D732" s="3"/>
      <c r="E732" s="3"/>
      <c r="F732" s="2"/>
      <c r="G732" s="12"/>
      <c r="H732" s="12"/>
      <c r="I732" s="13"/>
      <c r="J732" s="13"/>
      <c r="K732" s="15"/>
      <c r="L732" s="3"/>
      <c r="M732" s="6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</row>
    <row r="733" spans="1:37" ht="16.5" customHeight="1">
      <c r="A733" s="2"/>
      <c r="B733" s="11"/>
      <c r="C733" s="2"/>
      <c r="D733" s="3"/>
      <c r="E733" s="3"/>
      <c r="F733" s="2"/>
      <c r="G733" s="12"/>
      <c r="H733" s="12"/>
      <c r="I733" s="13"/>
      <c r="J733" s="13"/>
      <c r="K733" s="15"/>
      <c r="L733" s="3"/>
      <c r="M733" s="6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</row>
    <row r="734" spans="1:37" ht="16.5" customHeight="1">
      <c r="A734" s="2"/>
      <c r="B734" s="11"/>
      <c r="C734" s="2"/>
      <c r="D734" s="3"/>
      <c r="E734" s="3"/>
      <c r="F734" s="2"/>
      <c r="G734" s="12"/>
      <c r="H734" s="12"/>
      <c r="I734" s="13"/>
      <c r="J734" s="13"/>
      <c r="K734" s="15"/>
      <c r="L734" s="3"/>
      <c r="M734" s="6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</row>
    <row r="735" spans="1:37" ht="16.5" customHeight="1">
      <c r="A735" s="2"/>
      <c r="B735" s="11"/>
      <c r="C735" s="2"/>
      <c r="D735" s="3"/>
      <c r="E735" s="3"/>
      <c r="F735" s="2"/>
      <c r="G735" s="12"/>
      <c r="H735" s="12"/>
      <c r="I735" s="13"/>
      <c r="J735" s="13"/>
      <c r="K735" s="15"/>
      <c r="L735" s="3"/>
      <c r="M735" s="6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</row>
    <row r="736" spans="1:37" ht="16.5" customHeight="1">
      <c r="A736" s="2"/>
      <c r="B736" s="11"/>
      <c r="C736" s="2"/>
      <c r="D736" s="3"/>
      <c r="E736" s="3"/>
      <c r="F736" s="2"/>
      <c r="G736" s="12"/>
      <c r="H736" s="12"/>
      <c r="I736" s="13"/>
      <c r="J736" s="13"/>
      <c r="K736" s="15"/>
      <c r="L736" s="3"/>
      <c r="M736" s="6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</row>
    <row r="737" spans="1:37" ht="16.5" customHeight="1">
      <c r="A737" s="2"/>
      <c r="B737" s="11"/>
      <c r="C737" s="2"/>
      <c r="D737" s="3"/>
      <c r="E737" s="3"/>
      <c r="F737" s="2"/>
      <c r="G737" s="12"/>
      <c r="H737" s="12"/>
      <c r="I737" s="13"/>
      <c r="J737" s="13"/>
      <c r="K737" s="15"/>
      <c r="L737" s="3"/>
      <c r="M737" s="6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</row>
    <row r="738" spans="1:37" ht="16.5" customHeight="1">
      <c r="A738" s="2"/>
      <c r="B738" s="11"/>
      <c r="C738" s="2"/>
      <c r="D738" s="3"/>
      <c r="E738" s="3"/>
      <c r="F738" s="2"/>
      <c r="G738" s="12"/>
      <c r="H738" s="12"/>
      <c r="I738" s="13"/>
      <c r="J738" s="13"/>
      <c r="K738" s="15"/>
      <c r="L738" s="3"/>
      <c r="M738" s="6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</row>
    <row r="739" spans="1:37" ht="16.5" customHeight="1">
      <c r="A739" s="2"/>
      <c r="B739" s="11"/>
      <c r="C739" s="2"/>
      <c r="D739" s="3"/>
      <c r="E739" s="3"/>
      <c r="F739" s="2"/>
      <c r="G739" s="12"/>
      <c r="H739" s="12"/>
      <c r="I739" s="13"/>
      <c r="J739" s="13"/>
      <c r="K739" s="15"/>
      <c r="L739" s="3"/>
      <c r="M739" s="6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</row>
    <row r="740" spans="1:37" ht="16.5" customHeight="1">
      <c r="A740" s="2"/>
      <c r="B740" s="11"/>
      <c r="C740" s="2"/>
      <c r="D740" s="3"/>
      <c r="E740" s="3"/>
      <c r="F740" s="2"/>
      <c r="G740" s="12"/>
      <c r="H740" s="12"/>
      <c r="I740" s="13"/>
      <c r="J740" s="13"/>
      <c r="K740" s="15"/>
      <c r="L740" s="3"/>
      <c r="M740" s="6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</row>
    <row r="741" spans="1:37" ht="16.5" customHeight="1">
      <c r="A741" s="2"/>
      <c r="B741" s="11"/>
      <c r="C741" s="2"/>
      <c r="D741" s="3"/>
      <c r="E741" s="3"/>
      <c r="F741" s="2"/>
      <c r="G741" s="12"/>
      <c r="H741" s="12"/>
      <c r="I741" s="13"/>
      <c r="J741" s="13"/>
      <c r="K741" s="15"/>
      <c r="L741" s="3"/>
      <c r="M741" s="6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</row>
    <row r="742" spans="1:37" ht="16.5" customHeight="1">
      <c r="A742" s="2"/>
      <c r="B742" s="11"/>
      <c r="C742" s="2"/>
      <c r="D742" s="3"/>
      <c r="E742" s="3"/>
      <c r="F742" s="2"/>
      <c r="G742" s="12"/>
      <c r="H742" s="12"/>
      <c r="I742" s="13"/>
      <c r="J742" s="13"/>
      <c r="K742" s="15"/>
      <c r="L742" s="3"/>
      <c r="M742" s="6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</row>
    <row r="743" spans="1:37" ht="16.5" customHeight="1">
      <c r="A743" s="2"/>
      <c r="B743" s="11"/>
      <c r="C743" s="2"/>
      <c r="D743" s="3"/>
      <c r="E743" s="3"/>
      <c r="F743" s="2"/>
      <c r="G743" s="12"/>
      <c r="H743" s="12"/>
      <c r="I743" s="13"/>
      <c r="J743" s="13"/>
      <c r="K743" s="15"/>
      <c r="L743" s="3"/>
      <c r="M743" s="6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</row>
    <row r="744" spans="1:37" ht="16.5" customHeight="1">
      <c r="A744" s="2"/>
      <c r="B744" s="11"/>
      <c r="C744" s="2"/>
      <c r="D744" s="3"/>
      <c r="E744" s="3"/>
      <c r="F744" s="2"/>
      <c r="G744" s="12"/>
      <c r="H744" s="12"/>
      <c r="I744" s="13"/>
      <c r="J744" s="13"/>
      <c r="K744" s="15"/>
      <c r="L744" s="3"/>
      <c r="M744" s="6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</row>
    <row r="745" spans="1:37" ht="16.5" customHeight="1">
      <c r="A745" s="2"/>
      <c r="B745" s="11"/>
      <c r="C745" s="2"/>
      <c r="D745" s="3"/>
      <c r="E745" s="3"/>
      <c r="F745" s="2"/>
      <c r="G745" s="12"/>
      <c r="H745" s="12"/>
      <c r="I745" s="13"/>
      <c r="J745" s="13"/>
      <c r="K745" s="15"/>
      <c r="L745" s="3"/>
      <c r="M745" s="6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</row>
    <row r="746" spans="1:37" ht="16.5" customHeight="1">
      <c r="A746" s="2"/>
      <c r="B746" s="11"/>
      <c r="C746" s="2"/>
      <c r="D746" s="3"/>
      <c r="E746" s="3"/>
      <c r="F746" s="2"/>
      <c r="G746" s="12"/>
      <c r="H746" s="12"/>
      <c r="I746" s="13"/>
      <c r="J746" s="13"/>
      <c r="K746" s="15"/>
      <c r="L746" s="3"/>
      <c r="M746" s="6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</row>
    <row r="747" spans="1:37" ht="16.5" customHeight="1">
      <c r="A747" s="2"/>
      <c r="B747" s="11"/>
      <c r="C747" s="2"/>
      <c r="D747" s="3"/>
      <c r="E747" s="3"/>
      <c r="F747" s="2"/>
      <c r="G747" s="12"/>
      <c r="H747" s="12"/>
      <c r="I747" s="13"/>
      <c r="J747" s="13"/>
      <c r="K747" s="15"/>
      <c r="L747" s="3"/>
      <c r="M747" s="6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</row>
    <row r="748" spans="1:37" ht="16.5" customHeight="1">
      <c r="A748" s="2"/>
      <c r="B748" s="11"/>
      <c r="C748" s="2"/>
      <c r="D748" s="3"/>
      <c r="E748" s="3"/>
      <c r="F748" s="2"/>
      <c r="G748" s="12"/>
      <c r="H748" s="12"/>
      <c r="I748" s="13"/>
      <c r="J748" s="13"/>
      <c r="K748" s="15"/>
      <c r="L748" s="3"/>
      <c r="M748" s="6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</row>
    <row r="749" spans="1:37" ht="16.5" customHeight="1">
      <c r="A749" s="2"/>
      <c r="B749" s="11"/>
      <c r="C749" s="2"/>
      <c r="D749" s="3"/>
      <c r="E749" s="3"/>
      <c r="F749" s="2"/>
      <c r="G749" s="12"/>
      <c r="H749" s="12"/>
      <c r="I749" s="13"/>
      <c r="J749" s="13"/>
      <c r="K749" s="15"/>
      <c r="L749" s="3"/>
      <c r="M749" s="6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</row>
    <row r="750" spans="1:37" ht="16.5" customHeight="1">
      <c r="A750" s="2"/>
      <c r="B750" s="11"/>
      <c r="C750" s="2"/>
      <c r="D750" s="3"/>
      <c r="E750" s="3"/>
      <c r="F750" s="2"/>
      <c r="G750" s="12"/>
      <c r="H750" s="12"/>
      <c r="I750" s="13"/>
      <c r="J750" s="13"/>
      <c r="K750" s="15"/>
      <c r="L750" s="3"/>
      <c r="M750" s="6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</row>
    <row r="751" spans="1:37" ht="16.5" customHeight="1">
      <c r="A751" s="2"/>
      <c r="B751" s="11"/>
      <c r="C751" s="2"/>
      <c r="D751" s="3"/>
      <c r="E751" s="3"/>
      <c r="F751" s="2"/>
      <c r="G751" s="12"/>
      <c r="H751" s="12"/>
      <c r="I751" s="13"/>
      <c r="J751" s="13"/>
      <c r="K751" s="15"/>
      <c r="L751" s="3"/>
      <c r="M751" s="6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</row>
    <row r="752" spans="1:37" ht="16.5" customHeight="1">
      <c r="A752" s="2"/>
      <c r="B752" s="11"/>
      <c r="C752" s="2"/>
      <c r="D752" s="3"/>
      <c r="E752" s="3"/>
      <c r="F752" s="2"/>
      <c r="G752" s="12"/>
      <c r="H752" s="12"/>
      <c r="I752" s="13"/>
      <c r="J752" s="13"/>
      <c r="K752" s="15"/>
      <c r="L752" s="3"/>
      <c r="M752" s="6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</row>
    <row r="753" spans="1:37" ht="16.5" customHeight="1">
      <c r="A753" s="2"/>
      <c r="B753" s="11"/>
      <c r="C753" s="2"/>
      <c r="D753" s="3"/>
      <c r="E753" s="3"/>
      <c r="F753" s="2"/>
      <c r="G753" s="12"/>
      <c r="H753" s="12"/>
      <c r="I753" s="13"/>
      <c r="J753" s="13"/>
      <c r="K753" s="15"/>
      <c r="L753" s="3"/>
      <c r="M753" s="6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</row>
    <row r="754" spans="1:37" ht="16.5" customHeight="1">
      <c r="A754" s="2"/>
      <c r="B754" s="11"/>
      <c r="C754" s="2"/>
      <c r="D754" s="3"/>
      <c r="E754" s="3"/>
      <c r="F754" s="2"/>
      <c r="G754" s="12"/>
      <c r="H754" s="12"/>
      <c r="I754" s="13"/>
      <c r="J754" s="13"/>
      <c r="K754" s="15"/>
      <c r="L754" s="3"/>
      <c r="M754" s="6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</row>
    <row r="755" spans="1:37" ht="16.5" customHeight="1">
      <c r="A755" s="2"/>
      <c r="B755" s="11"/>
      <c r="C755" s="2"/>
      <c r="D755" s="3"/>
      <c r="E755" s="3"/>
      <c r="F755" s="2"/>
      <c r="G755" s="12"/>
      <c r="H755" s="12"/>
      <c r="I755" s="13"/>
      <c r="J755" s="13"/>
      <c r="K755" s="15"/>
      <c r="L755" s="3"/>
      <c r="M755" s="6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</row>
    <row r="756" spans="1:37" ht="16.5" customHeight="1">
      <c r="A756" s="2"/>
      <c r="B756" s="11"/>
      <c r="C756" s="2"/>
      <c r="D756" s="3"/>
      <c r="E756" s="3"/>
      <c r="F756" s="2"/>
      <c r="G756" s="12"/>
      <c r="H756" s="12"/>
      <c r="I756" s="13"/>
      <c r="J756" s="13"/>
      <c r="K756" s="15"/>
      <c r="L756" s="3"/>
      <c r="M756" s="6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</row>
    <row r="757" spans="1:37" ht="16.5" customHeight="1">
      <c r="A757" s="2"/>
      <c r="B757" s="11"/>
      <c r="C757" s="2"/>
      <c r="D757" s="3"/>
      <c r="E757" s="3"/>
      <c r="F757" s="2"/>
      <c r="G757" s="12"/>
      <c r="H757" s="12"/>
      <c r="I757" s="13"/>
      <c r="J757" s="13"/>
      <c r="K757" s="15"/>
      <c r="L757" s="3"/>
      <c r="M757" s="6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</row>
    <row r="758" spans="1:37" ht="16.5" customHeight="1">
      <c r="A758" s="2"/>
      <c r="B758" s="11"/>
      <c r="C758" s="2"/>
      <c r="D758" s="3"/>
      <c r="E758" s="3"/>
      <c r="F758" s="2"/>
      <c r="G758" s="12"/>
      <c r="H758" s="12"/>
      <c r="I758" s="13"/>
      <c r="J758" s="13"/>
      <c r="K758" s="15"/>
      <c r="L758" s="3"/>
      <c r="M758" s="6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</row>
    <row r="759" spans="1:37" ht="16.5" customHeight="1">
      <c r="A759" s="2"/>
      <c r="B759" s="11"/>
      <c r="C759" s="2"/>
      <c r="D759" s="3"/>
      <c r="E759" s="3"/>
      <c r="F759" s="2"/>
      <c r="G759" s="12"/>
      <c r="H759" s="12"/>
      <c r="I759" s="13"/>
      <c r="J759" s="13"/>
      <c r="K759" s="15"/>
      <c r="L759" s="3"/>
      <c r="M759" s="6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</row>
    <row r="760" spans="1:37" ht="16.5" customHeight="1">
      <c r="A760" s="2"/>
      <c r="B760" s="11"/>
      <c r="C760" s="2"/>
      <c r="D760" s="3"/>
      <c r="E760" s="3"/>
      <c r="F760" s="2"/>
      <c r="G760" s="12"/>
      <c r="H760" s="12"/>
      <c r="I760" s="13"/>
      <c r="J760" s="13"/>
      <c r="K760" s="15"/>
      <c r="L760" s="3"/>
      <c r="M760" s="6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</row>
    <row r="761" spans="1:37" ht="16.5" customHeight="1">
      <c r="A761" s="2"/>
      <c r="B761" s="11"/>
      <c r="C761" s="2"/>
      <c r="D761" s="3"/>
      <c r="E761" s="3"/>
      <c r="F761" s="2"/>
      <c r="G761" s="12"/>
      <c r="H761" s="12"/>
      <c r="I761" s="13"/>
      <c r="J761" s="13"/>
      <c r="K761" s="15"/>
      <c r="L761" s="3"/>
      <c r="M761" s="6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</row>
    <row r="762" spans="1:37" ht="16.5" customHeight="1">
      <c r="A762" s="2"/>
      <c r="B762" s="11"/>
      <c r="C762" s="2"/>
      <c r="D762" s="3"/>
      <c r="E762" s="3"/>
      <c r="F762" s="2"/>
      <c r="G762" s="12"/>
      <c r="H762" s="12"/>
      <c r="I762" s="13"/>
      <c r="J762" s="13"/>
      <c r="K762" s="15"/>
      <c r="L762" s="3"/>
      <c r="M762" s="6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</row>
    <row r="763" spans="1:37" ht="16.5" customHeight="1">
      <c r="A763" s="2"/>
      <c r="B763" s="11"/>
      <c r="C763" s="2"/>
      <c r="D763" s="3"/>
      <c r="E763" s="3"/>
      <c r="F763" s="2"/>
      <c r="G763" s="12"/>
      <c r="H763" s="12"/>
      <c r="I763" s="13"/>
      <c r="J763" s="13"/>
      <c r="K763" s="15"/>
      <c r="L763" s="3"/>
      <c r="M763" s="6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</row>
    <row r="764" spans="1:37" ht="16.5" customHeight="1">
      <c r="A764" s="2"/>
      <c r="B764" s="11"/>
      <c r="C764" s="2"/>
      <c r="D764" s="3"/>
      <c r="E764" s="3"/>
      <c r="F764" s="2"/>
      <c r="G764" s="12"/>
      <c r="H764" s="12"/>
      <c r="I764" s="13"/>
      <c r="J764" s="13"/>
      <c r="K764" s="15"/>
      <c r="L764" s="3"/>
      <c r="M764" s="6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</row>
    <row r="765" spans="1:37" ht="16.5" customHeight="1">
      <c r="A765" s="2"/>
      <c r="B765" s="11"/>
      <c r="C765" s="2"/>
      <c r="D765" s="3"/>
      <c r="E765" s="3"/>
      <c r="F765" s="2"/>
      <c r="G765" s="12"/>
      <c r="H765" s="12"/>
      <c r="I765" s="13"/>
      <c r="J765" s="13"/>
      <c r="K765" s="15"/>
      <c r="L765" s="3"/>
      <c r="M765" s="6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</row>
    <row r="766" spans="1:37" ht="16.5" customHeight="1">
      <c r="A766" s="2"/>
      <c r="B766" s="11"/>
      <c r="C766" s="2"/>
      <c r="D766" s="3"/>
      <c r="E766" s="3"/>
      <c r="F766" s="2"/>
      <c r="G766" s="12"/>
      <c r="H766" s="12"/>
      <c r="I766" s="13"/>
      <c r="J766" s="13"/>
      <c r="K766" s="15"/>
      <c r="L766" s="3"/>
      <c r="M766" s="6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</row>
    <row r="767" spans="1:37" ht="16.5" customHeight="1">
      <c r="A767" s="2"/>
      <c r="B767" s="11"/>
      <c r="C767" s="2"/>
      <c r="D767" s="3"/>
      <c r="E767" s="3"/>
      <c r="F767" s="2"/>
      <c r="G767" s="12"/>
      <c r="H767" s="12"/>
      <c r="I767" s="13"/>
      <c r="J767" s="13"/>
      <c r="K767" s="15"/>
      <c r="L767" s="3"/>
      <c r="M767" s="6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</row>
    <row r="768" spans="1:37" ht="16.5" customHeight="1">
      <c r="A768" s="2"/>
      <c r="B768" s="11"/>
      <c r="C768" s="2"/>
      <c r="D768" s="3"/>
      <c r="E768" s="3"/>
      <c r="F768" s="2"/>
      <c r="G768" s="12"/>
      <c r="H768" s="12"/>
      <c r="I768" s="13"/>
      <c r="J768" s="13"/>
      <c r="K768" s="15"/>
      <c r="L768" s="3"/>
      <c r="M768" s="6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</row>
    <row r="769" spans="1:37" ht="16.5" customHeight="1">
      <c r="A769" s="2"/>
      <c r="B769" s="11"/>
      <c r="C769" s="2"/>
      <c r="D769" s="3"/>
      <c r="E769" s="3"/>
      <c r="F769" s="2"/>
      <c r="G769" s="12"/>
      <c r="H769" s="12"/>
      <c r="I769" s="13"/>
      <c r="J769" s="13"/>
      <c r="K769" s="15"/>
      <c r="L769" s="3"/>
      <c r="M769" s="6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</row>
    <row r="770" spans="1:37" ht="16.5" customHeight="1">
      <c r="A770" s="2"/>
      <c r="B770" s="11"/>
      <c r="C770" s="2"/>
      <c r="D770" s="3"/>
      <c r="E770" s="3"/>
      <c r="F770" s="2"/>
      <c r="G770" s="12"/>
      <c r="H770" s="12"/>
      <c r="I770" s="13"/>
      <c r="J770" s="13"/>
      <c r="K770" s="15"/>
      <c r="L770" s="3"/>
      <c r="M770" s="6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</row>
    <row r="771" spans="1:37" ht="16.5" customHeight="1">
      <c r="A771" s="2"/>
      <c r="B771" s="11"/>
      <c r="C771" s="2"/>
      <c r="D771" s="3"/>
      <c r="E771" s="3"/>
      <c r="F771" s="2"/>
      <c r="G771" s="12"/>
      <c r="H771" s="12"/>
      <c r="I771" s="13"/>
      <c r="J771" s="13"/>
      <c r="K771" s="15"/>
      <c r="L771" s="3"/>
      <c r="M771" s="6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</row>
    <row r="772" spans="1:37" ht="16.5" customHeight="1">
      <c r="A772" s="2"/>
      <c r="B772" s="11"/>
      <c r="C772" s="2"/>
      <c r="D772" s="3"/>
      <c r="E772" s="3"/>
      <c r="F772" s="2"/>
      <c r="G772" s="12"/>
      <c r="H772" s="12"/>
      <c r="I772" s="13"/>
      <c r="J772" s="13"/>
      <c r="K772" s="15"/>
      <c r="L772" s="3"/>
      <c r="M772" s="6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</row>
    <row r="773" spans="1:37" ht="16.5" customHeight="1">
      <c r="A773" s="2"/>
      <c r="B773" s="11"/>
      <c r="C773" s="2"/>
      <c r="D773" s="3"/>
      <c r="E773" s="3"/>
      <c r="F773" s="2"/>
      <c r="G773" s="12"/>
      <c r="H773" s="12"/>
      <c r="I773" s="13"/>
      <c r="J773" s="13"/>
      <c r="K773" s="15"/>
      <c r="L773" s="3"/>
      <c r="M773" s="6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</row>
    <row r="774" spans="1:37" ht="16.5" customHeight="1">
      <c r="A774" s="2"/>
      <c r="B774" s="11"/>
      <c r="C774" s="2"/>
      <c r="D774" s="3"/>
      <c r="E774" s="3"/>
      <c r="F774" s="2"/>
      <c r="G774" s="12"/>
      <c r="H774" s="12"/>
      <c r="I774" s="13"/>
      <c r="J774" s="13"/>
      <c r="K774" s="15"/>
      <c r="L774" s="3"/>
      <c r="M774" s="6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</row>
    <row r="775" spans="1:37" ht="16.5" customHeight="1">
      <c r="A775" s="2"/>
      <c r="B775" s="11"/>
      <c r="C775" s="2"/>
      <c r="D775" s="3"/>
      <c r="E775" s="3"/>
      <c r="F775" s="2"/>
      <c r="G775" s="12"/>
      <c r="H775" s="12"/>
      <c r="I775" s="13"/>
      <c r="J775" s="13"/>
      <c r="K775" s="15"/>
      <c r="L775" s="3"/>
      <c r="M775" s="6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</row>
    <row r="776" spans="1:37" ht="16.5" customHeight="1">
      <c r="A776" s="2"/>
      <c r="B776" s="11"/>
      <c r="C776" s="2"/>
      <c r="D776" s="3"/>
      <c r="E776" s="3"/>
      <c r="F776" s="2"/>
      <c r="G776" s="12"/>
      <c r="H776" s="12"/>
      <c r="I776" s="13"/>
      <c r="J776" s="13"/>
      <c r="K776" s="15"/>
      <c r="L776" s="3"/>
      <c r="M776" s="6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</row>
    <row r="777" spans="1:37" ht="16.5" customHeight="1">
      <c r="A777" s="2"/>
      <c r="B777" s="11"/>
      <c r="C777" s="2"/>
      <c r="D777" s="3"/>
      <c r="E777" s="3"/>
      <c r="F777" s="2"/>
      <c r="G777" s="12"/>
      <c r="H777" s="12"/>
      <c r="I777" s="13"/>
      <c r="J777" s="13"/>
      <c r="K777" s="15"/>
      <c r="L777" s="3"/>
      <c r="M777" s="6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</row>
    <row r="778" spans="1:37" ht="16.5" customHeight="1">
      <c r="A778" s="2"/>
      <c r="B778" s="11"/>
      <c r="C778" s="2"/>
      <c r="D778" s="3"/>
      <c r="E778" s="3"/>
      <c r="F778" s="2"/>
      <c r="G778" s="12"/>
      <c r="H778" s="12"/>
      <c r="I778" s="13"/>
      <c r="J778" s="13"/>
      <c r="K778" s="15"/>
      <c r="L778" s="3"/>
      <c r="M778" s="6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</row>
    <row r="779" spans="1:37" ht="16.5" customHeight="1">
      <c r="A779" s="2"/>
      <c r="B779" s="11"/>
      <c r="C779" s="2"/>
      <c r="D779" s="3"/>
      <c r="E779" s="3"/>
      <c r="F779" s="2"/>
      <c r="G779" s="12"/>
      <c r="H779" s="12"/>
      <c r="I779" s="13"/>
      <c r="J779" s="13"/>
      <c r="K779" s="15"/>
      <c r="L779" s="3"/>
      <c r="M779" s="6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</row>
    <row r="780" spans="1:37" ht="16.5" customHeight="1">
      <c r="A780" s="2"/>
      <c r="B780" s="11"/>
      <c r="C780" s="2"/>
      <c r="D780" s="3"/>
      <c r="E780" s="3"/>
      <c r="F780" s="2"/>
      <c r="G780" s="12"/>
      <c r="H780" s="12"/>
      <c r="I780" s="13"/>
      <c r="J780" s="13"/>
      <c r="K780" s="15"/>
      <c r="L780" s="3"/>
      <c r="M780" s="6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</row>
    <row r="781" spans="1:37" ht="16.5" customHeight="1">
      <c r="A781" s="2"/>
      <c r="B781" s="11"/>
      <c r="C781" s="2"/>
      <c r="D781" s="3"/>
      <c r="E781" s="3"/>
      <c r="F781" s="2"/>
      <c r="G781" s="12"/>
      <c r="H781" s="12"/>
      <c r="I781" s="13"/>
      <c r="J781" s="13"/>
      <c r="K781" s="15"/>
      <c r="L781" s="3"/>
      <c r="M781" s="6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</row>
    <row r="782" spans="1:37" ht="16.5" customHeight="1">
      <c r="A782" s="2"/>
      <c r="B782" s="11"/>
      <c r="C782" s="2"/>
      <c r="D782" s="3"/>
      <c r="E782" s="3"/>
      <c r="F782" s="2"/>
      <c r="G782" s="12"/>
      <c r="H782" s="12"/>
      <c r="I782" s="13"/>
      <c r="J782" s="13"/>
      <c r="K782" s="15"/>
      <c r="L782" s="3"/>
      <c r="M782" s="6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</row>
    <row r="783" spans="1:37" ht="16.5" customHeight="1">
      <c r="A783" s="2"/>
      <c r="B783" s="11"/>
      <c r="C783" s="2"/>
      <c r="D783" s="3"/>
      <c r="E783" s="3"/>
      <c r="F783" s="2"/>
      <c r="G783" s="12"/>
      <c r="H783" s="12"/>
      <c r="I783" s="13"/>
      <c r="J783" s="13"/>
      <c r="K783" s="15"/>
      <c r="L783" s="3"/>
      <c r="M783" s="6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</row>
    <row r="784" spans="1:37" ht="16.5" customHeight="1">
      <c r="A784" s="2"/>
      <c r="B784" s="11"/>
      <c r="C784" s="2"/>
      <c r="D784" s="3"/>
      <c r="E784" s="3"/>
      <c r="F784" s="2"/>
      <c r="G784" s="12"/>
      <c r="H784" s="12"/>
      <c r="I784" s="13"/>
      <c r="J784" s="13"/>
      <c r="K784" s="15"/>
      <c r="L784" s="3"/>
      <c r="M784" s="6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</row>
    <row r="785" spans="1:37" ht="16.5" customHeight="1">
      <c r="A785" s="2"/>
      <c r="B785" s="11"/>
      <c r="C785" s="2"/>
      <c r="D785" s="3"/>
      <c r="E785" s="3"/>
      <c r="F785" s="2"/>
      <c r="G785" s="12"/>
      <c r="H785" s="12"/>
      <c r="I785" s="13"/>
      <c r="J785" s="13"/>
      <c r="K785" s="15"/>
      <c r="L785" s="3"/>
      <c r="M785" s="6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</row>
    <row r="786" spans="1:37" ht="16.5" customHeight="1">
      <c r="A786" s="2"/>
      <c r="B786" s="11"/>
      <c r="C786" s="2"/>
      <c r="D786" s="3"/>
      <c r="E786" s="3"/>
      <c r="F786" s="2"/>
      <c r="G786" s="12"/>
      <c r="H786" s="12"/>
      <c r="I786" s="13"/>
      <c r="J786" s="13"/>
      <c r="K786" s="15"/>
      <c r="L786" s="3"/>
      <c r="M786" s="6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</row>
    <row r="787" spans="1:37" ht="16.5" customHeight="1">
      <c r="A787" s="2"/>
      <c r="B787" s="11"/>
      <c r="C787" s="2"/>
      <c r="D787" s="3"/>
      <c r="E787" s="3"/>
      <c r="F787" s="2"/>
      <c r="G787" s="12"/>
      <c r="H787" s="12"/>
      <c r="I787" s="13"/>
      <c r="J787" s="13"/>
      <c r="K787" s="15"/>
      <c r="L787" s="3"/>
      <c r="M787" s="6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</row>
    <row r="788" spans="1:37" ht="16.5" customHeight="1">
      <c r="A788" s="2"/>
      <c r="B788" s="11"/>
      <c r="C788" s="2"/>
      <c r="D788" s="3"/>
      <c r="E788" s="3"/>
      <c r="F788" s="2"/>
      <c r="G788" s="12"/>
      <c r="H788" s="12"/>
      <c r="I788" s="13"/>
      <c r="J788" s="13"/>
      <c r="K788" s="15"/>
      <c r="L788" s="3"/>
      <c r="M788" s="6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</row>
    <row r="789" spans="1:37" ht="16.5" customHeight="1">
      <c r="A789" s="2"/>
      <c r="B789" s="11"/>
      <c r="C789" s="2"/>
      <c r="D789" s="3"/>
      <c r="E789" s="3"/>
      <c r="F789" s="2"/>
      <c r="G789" s="12"/>
      <c r="H789" s="12"/>
      <c r="I789" s="13"/>
      <c r="J789" s="13"/>
      <c r="K789" s="15"/>
      <c r="L789" s="3"/>
      <c r="M789" s="6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</row>
    <row r="790" spans="1:37" ht="16.5" customHeight="1">
      <c r="A790" s="2"/>
      <c r="B790" s="11"/>
      <c r="C790" s="2"/>
      <c r="D790" s="3"/>
      <c r="E790" s="3"/>
      <c r="F790" s="2"/>
      <c r="G790" s="12"/>
      <c r="H790" s="12"/>
      <c r="I790" s="13"/>
      <c r="J790" s="13"/>
      <c r="K790" s="15"/>
      <c r="L790" s="3"/>
      <c r="M790" s="6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</row>
    <row r="791" spans="1:37" ht="16.5" customHeight="1">
      <c r="A791" s="2"/>
      <c r="B791" s="11"/>
      <c r="C791" s="2"/>
      <c r="D791" s="3"/>
      <c r="E791" s="3"/>
      <c r="F791" s="2"/>
      <c r="G791" s="12"/>
      <c r="H791" s="12"/>
      <c r="I791" s="13"/>
      <c r="J791" s="13"/>
      <c r="K791" s="15"/>
      <c r="L791" s="3"/>
      <c r="M791" s="6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</row>
    <row r="792" spans="1:37" ht="16.5" customHeight="1">
      <c r="A792" s="2"/>
      <c r="B792" s="11"/>
      <c r="C792" s="2"/>
      <c r="D792" s="3"/>
      <c r="E792" s="3"/>
      <c r="F792" s="2"/>
      <c r="G792" s="12"/>
      <c r="H792" s="12"/>
      <c r="I792" s="13"/>
      <c r="J792" s="13"/>
      <c r="K792" s="15"/>
      <c r="L792" s="3"/>
      <c r="M792" s="6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</row>
    <row r="793" spans="1:37" ht="16.5" customHeight="1">
      <c r="A793" s="2"/>
      <c r="B793" s="11"/>
      <c r="C793" s="2"/>
      <c r="D793" s="3"/>
      <c r="E793" s="3"/>
      <c r="F793" s="2"/>
      <c r="G793" s="12"/>
      <c r="H793" s="12"/>
      <c r="I793" s="13"/>
      <c r="J793" s="13"/>
      <c r="K793" s="15"/>
      <c r="L793" s="3"/>
      <c r="M793" s="6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</row>
    <row r="794" spans="1:37" ht="16.5" customHeight="1">
      <c r="A794" s="2"/>
      <c r="B794" s="11"/>
      <c r="C794" s="2"/>
      <c r="D794" s="3"/>
      <c r="E794" s="3"/>
      <c r="F794" s="2"/>
      <c r="G794" s="12"/>
      <c r="H794" s="12"/>
      <c r="I794" s="13"/>
      <c r="J794" s="13"/>
      <c r="K794" s="15"/>
      <c r="L794" s="3"/>
      <c r="M794" s="6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</row>
    <row r="795" spans="1:37" ht="16.5" customHeight="1">
      <c r="A795" s="2"/>
      <c r="B795" s="11"/>
      <c r="C795" s="2"/>
      <c r="D795" s="3"/>
      <c r="E795" s="3"/>
      <c r="F795" s="2"/>
      <c r="G795" s="12"/>
      <c r="H795" s="12"/>
      <c r="I795" s="13"/>
      <c r="J795" s="13"/>
      <c r="K795" s="15"/>
      <c r="L795" s="3"/>
      <c r="M795" s="6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</row>
    <row r="796" spans="1:37" ht="16.5" customHeight="1">
      <c r="A796" s="2"/>
      <c r="B796" s="11"/>
      <c r="C796" s="2"/>
      <c r="D796" s="3"/>
      <c r="E796" s="3"/>
      <c r="F796" s="2"/>
      <c r="G796" s="12"/>
      <c r="H796" s="12"/>
      <c r="I796" s="13"/>
      <c r="J796" s="13"/>
      <c r="K796" s="15"/>
      <c r="L796" s="3"/>
      <c r="M796" s="6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</row>
    <row r="797" spans="1:37" ht="16.5" customHeight="1">
      <c r="A797" s="2"/>
      <c r="B797" s="11"/>
      <c r="C797" s="2"/>
      <c r="D797" s="3"/>
      <c r="E797" s="3"/>
      <c r="F797" s="2"/>
      <c r="G797" s="12"/>
      <c r="H797" s="12"/>
      <c r="I797" s="13"/>
      <c r="J797" s="13"/>
      <c r="K797" s="15"/>
      <c r="L797" s="3"/>
      <c r="M797" s="6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</row>
    <row r="798" spans="1:37" ht="16.5" customHeight="1">
      <c r="A798" s="2"/>
      <c r="B798" s="11"/>
      <c r="C798" s="2"/>
      <c r="D798" s="3"/>
      <c r="E798" s="3"/>
      <c r="F798" s="2"/>
      <c r="G798" s="12"/>
      <c r="H798" s="12"/>
      <c r="I798" s="13"/>
      <c r="J798" s="13"/>
      <c r="K798" s="15"/>
      <c r="L798" s="3"/>
      <c r="M798" s="6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</row>
    <row r="799" spans="1:37" ht="16.5" customHeight="1">
      <c r="A799" s="2"/>
      <c r="B799" s="11"/>
      <c r="C799" s="2"/>
      <c r="D799" s="3"/>
      <c r="E799" s="3"/>
      <c r="F799" s="2"/>
      <c r="G799" s="12"/>
      <c r="H799" s="12"/>
      <c r="I799" s="13"/>
      <c r="J799" s="13"/>
      <c r="K799" s="15"/>
      <c r="L799" s="3"/>
      <c r="M799" s="6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</row>
    <row r="800" spans="1:37" ht="16.5" customHeight="1">
      <c r="A800" s="2"/>
      <c r="B800" s="11"/>
      <c r="C800" s="2"/>
      <c r="D800" s="3"/>
      <c r="E800" s="3"/>
      <c r="F800" s="2"/>
      <c r="G800" s="12"/>
      <c r="H800" s="12"/>
      <c r="I800" s="13"/>
      <c r="J800" s="13"/>
      <c r="K800" s="15"/>
      <c r="L800" s="3"/>
      <c r="M800" s="6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</row>
    <row r="801" spans="1:37" ht="16.5" customHeight="1">
      <c r="A801" s="2"/>
      <c r="B801" s="11"/>
      <c r="C801" s="2"/>
      <c r="D801" s="3"/>
      <c r="E801" s="3"/>
      <c r="F801" s="2"/>
      <c r="G801" s="12"/>
      <c r="H801" s="12"/>
      <c r="I801" s="13"/>
      <c r="J801" s="13"/>
      <c r="K801" s="15"/>
      <c r="L801" s="3"/>
      <c r="M801" s="6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</row>
    <row r="802" spans="1:37" ht="16.5" customHeight="1">
      <c r="A802" s="2"/>
      <c r="B802" s="11"/>
      <c r="C802" s="2"/>
      <c r="D802" s="3"/>
      <c r="E802" s="3"/>
      <c r="F802" s="2"/>
      <c r="G802" s="12"/>
      <c r="H802" s="12"/>
      <c r="I802" s="13"/>
      <c r="J802" s="13"/>
      <c r="K802" s="15"/>
      <c r="L802" s="3"/>
      <c r="M802" s="6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</row>
    <row r="803" spans="1:37" ht="16.5" customHeight="1">
      <c r="A803" s="2"/>
      <c r="B803" s="11"/>
      <c r="C803" s="2"/>
      <c r="D803" s="3"/>
      <c r="E803" s="3"/>
      <c r="F803" s="2"/>
      <c r="G803" s="12"/>
      <c r="H803" s="12"/>
      <c r="I803" s="13"/>
      <c r="J803" s="13"/>
      <c r="K803" s="15"/>
      <c r="L803" s="3"/>
      <c r="M803" s="6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</row>
    <row r="804" spans="1:37" ht="16.5" customHeight="1">
      <c r="A804" s="2"/>
      <c r="B804" s="11"/>
      <c r="C804" s="2"/>
      <c r="D804" s="3"/>
      <c r="E804" s="3"/>
      <c r="F804" s="2"/>
      <c r="G804" s="12"/>
      <c r="H804" s="12"/>
      <c r="I804" s="13"/>
      <c r="J804" s="13"/>
      <c r="K804" s="15"/>
      <c r="L804" s="3"/>
      <c r="M804" s="6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</row>
    <row r="805" spans="1:37" ht="16.5" customHeight="1">
      <c r="A805" s="2"/>
      <c r="B805" s="11"/>
      <c r="C805" s="2"/>
      <c r="D805" s="3"/>
      <c r="E805" s="3"/>
      <c r="F805" s="2"/>
      <c r="G805" s="12"/>
      <c r="H805" s="12"/>
      <c r="I805" s="13"/>
      <c r="J805" s="13"/>
      <c r="K805" s="15"/>
      <c r="L805" s="3"/>
      <c r="M805" s="6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</row>
    <row r="806" spans="1:37" ht="16.5" customHeight="1">
      <c r="A806" s="2"/>
      <c r="B806" s="11"/>
      <c r="C806" s="2"/>
      <c r="D806" s="3"/>
      <c r="E806" s="3"/>
      <c r="F806" s="2"/>
      <c r="G806" s="12"/>
      <c r="H806" s="12"/>
      <c r="I806" s="13"/>
      <c r="J806" s="13"/>
      <c r="K806" s="15"/>
      <c r="L806" s="3"/>
      <c r="M806" s="6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</row>
    <row r="807" spans="1:37" ht="16.5" customHeight="1">
      <c r="A807" s="2"/>
      <c r="B807" s="11"/>
      <c r="C807" s="2"/>
      <c r="D807" s="3"/>
      <c r="E807" s="3"/>
      <c r="F807" s="2"/>
      <c r="G807" s="12"/>
      <c r="H807" s="12"/>
      <c r="I807" s="13"/>
      <c r="J807" s="13"/>
      <c r="K807" s="15"/>
      <c r="L807" s="3"/>
      <c r="M807" s="6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</row>
    <row r="808" spans="1:37" ht="16.5" customHeight="1">
      <c r="A808" s="2"/>
      <c r="B808" s="11"/>
      <c r="C808" s="2"/>
      <c r="D808" s="3"/>
      <c r="E808" s="3"/>
      <c r="F808" s="2"/>
      <c r="G808" s="12"/>
      <c r="H808" s="12"/>
      <c r="I808" s="13"/>
      <c r="J808" s="13"/>
      <c r="K808" s="15"/>
      <c r="L808" s="3"/>
      <c r="M808" s="6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</row>
    <row r="809" spans="1:37" ht="16.5" customHeight="1">
      <c r="A809" s="2"/>
      <c r="B809" s="11"/>
      <c r="C809" s="2"/>
      <c r="D809" s="3"/>
      <c r="E809" s="3"/>
      <c r="F809" s="2"/>
      <c r="G809" s="12"/>
      <c r="H809" s="12"/>
      <c r="I809" s="13"/>
      <c r="J809" s="13"/>
      <c r="K809" s="15"/>
      <c r="L809" s="3"/>
      <c r="M809" s="6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</row>
    <row r="810" spans="1:37" ht="16.5" customHeight="1">
      <c r="A810" s="2"/>
      <c r="B810" s="11"/>
      <c r="C810" s="2"/>
      <c r="D810" s="3"/>
      <c r="E810" s="3"/>
      <c r="F810" s="2"/>
      <c r="G810" s="12"/>
      <c r="H810" s="12"/>
      <c r="I810" s="13"/>
      <c r="J810" s="13"/>
      <c r="K810" s="15"/>
      <c r="L810" s="3"/>
      <c r="M810" s="6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</row>
    <row r="811" spans="1:37" ht="16.5" customHeight="1">
      <c r="A811" s="2"/>
      <c r="B811" s="11"/>
      <c r="C811" s="2"/>
      <c r="D811" s="3"/>
      <c r="E811" s="3"/>
      <c r="F811" s="2"/>
      <c r="G811" s="12"/>
      <c r="H811" s="12"/>
      <c r="I811" s="13"/>
      <c r="J811" s="13"/>
      <c r="K811" s="15"/>
      <c r="L811" s="3"/>
      <c r="M811" s="6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</row>
    <row r="812" spans="1:37" ht="16.5" customHeight="1">
      <c r="A812" s="2"/>
      <c r="B812" s="11"/>
      <c r="C812" s="2"/>
      <c r="D812" s="3"/>
      <c r="E812" s="3"/>
      <c r="F812" s="2"/>
      <c r="G812" s="12"/>
      <c r="H812" s="12"/>
      <c r="I812" s="13"/>
      <c r="J812" s="13"/>
      <c r="K812" s="15"/>
      <c r="L812" s="3"/>
      <c r="M812" s="6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</row>
    <row r="813" spans="1:37" ht="16.5" customHeight="1">
      <c r="A813" s="2"/>
      <c r="B813" s="11"/>
      <c r="C813" s="2"/>
      <c r="D813" s="3"/>
      <c r="E813" s="3"/>
      <c r="F813" s="2"/>
      <c r="G813" s="12"/>
      <c r="H813" s="12"/>
      <c r="I813" s="13"/>
      <c r="J813" s="13"/>
      <c r="K813" s="15"/>
      <c r="L813" s="3"/>
      <c r="M813" s="6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</row>
    <row r="814" spans="1:37" ht="16.5" customHeight="1">
      <c r="A814" s="2"/>
      <c r="B814" s="11"/>
      <c r="C814" s="2"/>
      <c r="D814" s="3"/>
      <c r="E814" s="3"/>
      <c r="F814" s="2"/>
      <c r="G814" s="12"/>
      <c r="H814" s="12"/>
      <c r="I814" s="13"/>
      <c r="J814" s="13"/>
      <c r="K814" s="15"/>
      <c r="L814" s="3"/>
      <c r="M814" s="6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</row>
    <row r="815" spans="1:37" ht="16.5" customHeight="1">
      <c r="A815" s="2"/>
      <c r="B815" s="11"/>
      <c r="C815" s="2"/>
      <c r="D815" s="3"/>
      <c r="E815" s="3"/>
      <c r="F815" s="2"/>
      <c r="G815" s="12"/>
      <c r="H815" s="12"/>
      <c r="I815" s="13"/>
      <c r="J815" s="13"/>
      <c r="K815" s="15"/>
      <c r="L815" s="3"/>
      <c r="M815" s="6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</row>
    <row r="816" spans="1:37" ht="16.5" customHeight="1">
      <c r="A816" s="2"/>
      <c r="B816" s="11"/>
      <c r="C816" s="2"/>
      <c r="D816" s="3"/>
      <c r="E816" s="3"/>
      <c r="F816" s="2"/>
      <c r="G816" s="12"/>
      <c r="H816" s="12"/>
      <c r="I816" s="13"/>
      <c r="J816" s="13"/>
      <c r="K816" s="15"/>
      <c r="L816" s="3"/>
      <c r="M816" s="6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</row>
    <row r="817" spans="1:37" ht="16.5" customHeight="1">
      <c r="A817" s="2"/>
      <c r="B817" s="11"/>
      <c r="C817" s="2"/>
      <c r="D817" s="3"/>
      <c r="E817" s="3"/>
      <c r="F817" s="2"/>
      <c r="G817" s="12"/>
      <c r="H817" s="12"/>
      <c r="I817" s="13"/>
      <c r="J817" s="13"/>
      <c r="K817" s="15"/>
      <c r="L817" s="3"/>
      <c r="M817" s="6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</row>
    <row r="818" spans="1:37" ht="16.5" customHeight="1">
      <c r="A818" s="2"/>
      <c r="B818" s="11"/>
      <c r="C818" s="2"/>
      <c r="D818" s="3"/>
      <c r="E818" s="3"/>
      <c r="F818" s="2"/>
      <c r="G818" s="12"/>
      <c r="H818" s="12"/>
      <c r="I818" s="13"/>
      <c r="J818" s="13"/>
      <c r="K818" s="15"/>
      <c r="L818" s="3"/>
      <c r="M818" s="6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</row>
    <row r="819" spans="1:37" ht="16.5" customHeight="1">
      <c r="A819" s="2"/>
      <c r="B819" s="11"/>
      <c r="C819" s="2"/>
      <c r="D819" s="3"/>
      <c r="E819" s="3"/>
      <c r="F819" s="2"/>
      <c r="G819" s="12"/>
      <c r="H819" s="12"/>
      <c r="I819" s="13"/>
      <c r="J819" s="13"/>
      <c r="K819" s="15"/>
      <c r="L819" s="3"/>
      <c r="M819" s="6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</row>
    <row r="820" spans="1:37" ht="16.5" customHeight="1">
      <c r="A820" s="2"/>
      <c r="B820" s="11"/>
      <c r="C820" s="2"/>
      <c r="D820" s="3"/>
      <c r="E820" s="3"/>
      <c r="F820" s="2"/>
      <c r="G820" s="12"/>
      <c r="H820" s="12"/>
      <c r="I820" s="13"/>
      <c r="J820" s="13"/>
      <c r="K820" s="15"/>
      <c r="L820" s="3"/>
      <c r="M820" s="6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</row>
    <row r="821" spans="1:37" ht="16.5" customHeight="1">
      <c r="A821" s="2"/>
      <c r="B821" s="11"/>
      <c r="C821" s="2"/>
      <c r="D821" s="3"/>
      <c r="E821" s="3"/>
      <c r="F821" s="2"/>
      <c r="G821" s="12"/>
      <c r="H821" s="12"/>
      <c r="I821" s="13"/>
      <c r="J821" s="13"/>
      <c r="K821" s="15"/>
      <c r="L821" s="3"/>
      <c r="M821" s="6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</row>
    <row r="822" spans="1:37" ht="16.5" customHeight="1">
      <c r="A822" s="2"/>
      <c r="B822" s="11"/>
      <c r="C822" s="2"/>
      <c r="D822" s="3"/>
      <c r="E822" s="3"/>
      <c r="F822" s="2"/>
      <c r="G822" s="12"/>
      <c r="H822" s="12"/>
      <c r="I822" s="13"/>
      <c r="J822" s="13"/>
      <c r="K822" s="15"/>
      <c r="L822" s="3"/>
      <c r="M822" s="6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</row>
    <row r="823" spans="1:37" ht="16.5" customHeight="1">
      <c r="A823" s="2"/>
      <c r="B823" s="11"/>
      <c r="C823" s="2"/>
      <c r="D823" s="3"/>
      <c r="E823" s="3"/>
      <c r="F823" s="2"/>
      <c r="G823" s="12"/>
      <c r="H823" s="12"/>
      <c r="I823" s="13"/>
      <c r="J823" s="13"/>
      <c r="K823" s="15"/>
      <c r="L823" s="3"/>
      <c r="M823" s="6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</row>
    <row r="824" spans="1:37" ht="16.5" customHeight="1">
      <c r="A824" s="2"/>
      <c r="B824" s="11"/>
      <c r="C824" s="2"/>
      <c r="D824" s="3"/>
      <c r="E824" s="3"/>
      <c r="F824" s="2"/>
      <c r="G824" s="12"/>
      <c r="H824" s="12"/>
      <c r="I824" s="13"/>
      <c r="J824" s="13"/>
      <c r="K824" s="15"/>
      <c r="L824" s="3"/>
      <c r="M824" s="6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</row>
    <row r="825" spans="1:37" ht="16.5" customHeight="1">
      <c r="A825" s="2"/>
      <c r="B825" s="11"/>
      <c r="C825" s="2"/>
      <c r="D825" s="3"/>
      <c r="E825" s="3"/>
      <c r="F825" s="2"/>
      <c r="G825" s="12"/>
      <c r="H825" s="12"/>
      <c r="I825" s="13"/>
      <c r="J825" s="13"/>
      <c r="K825" s="15"/>
      <c r="L825" s="3"/>
      <c r="M825" s="6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</row>
    <row r="826" spans="1:37" ht="16.5" customHeight="1">
      <c r="A826" s="2"/>
      <c r="B826" s="11"/>
      <c r="C826" s="2"/>
      <c r="D826" s="3"/>
      <c r="E826" s="3"/>
      <c r="F826" s="2"/>
      <c r="G826" s="12"/>
      <c r="H826" s="12"/>
      <c r="I826" s="13"/>
      <c r="J826" s="13"/>
      <c r="K826" s="15"/>
      <c r="L826" s="3"/>
      <c r="M826" s="6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</row>
    <row r="827" spans="1:37" ht="16.5" customHeight="1">
      <c r="A827" s="2"/>
      <c r="B827" s="11"/>
      <c r="C827" s="2"/>
      <c r="D827" s="3"/>
      <c r="E827" s="3"/>
      <c r="F827" s="2"/>
      <c r="G827" s="12"/>
      <c r="H827" s="12"/>
      <c r="I827" s="13"/>
      <c r="J827" s="13"/>
      <c r="K827" s="15"/>
      <c r="L827" s="3"/>
      <c r="M827" s="6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</row>
    <row r="828" spans="1:37" ht="16.5" customHeight="1">
      <c r="A828" s="2"/>
      <c r="B828" s="11"/>
      <c r="C828" s="2"/>
      <c r="D828" s="3"/>
      <c r="E828" s="3"/>
      <c r="F828" s="2"/>
      <c r="G828" s="12"/>
      <c r="H828" s="12"/>
      <c r="I828" s="13"/>
      <c r="J828" s="13"/>
      <c r="K828" s="15"/>
      <c r="L828" s="3"/>
      <c r="M828" s="6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</row>
    <row r="829" spans="1:37" ht="16.5" customHeight="1">
      <c r="A829" s="2"/>
      <c r="B829" s="11"/>
      <c r="C829" s="2"/>
      <c r="D829" s="3"/>
      <c r="E829" s="3"/>
      <c r="F829" s="2"/>
      <c r="G829" s="12"/>
      <c r="H829" s="12"/>
      <c r="I829" s="13"/>
      <c r="J829" s="13"/>
      <c r="K829" s="15"/>
      <c r="L829" s="3"/>
      <c r="M829" s="6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</row>
    <row r="830" spans="1:37" ht="16.5" customHeight="1">
      <c r="A830" s="2"/>
      <c r="B830" s="11"/>
      <c r="C830" s="2"/>
      <c r="D830" s="3"/>
      <c r="E830" s="3"/>
      <c r="F830" s="2"/>
      <c r="G830" s="12"/>
      <c r="H830" s="12"/>
      <c r="I830" s="13"/>
      <c r="J830" s="13"/>
      <c r="K830" s="15"/>
      <c r="L830" s="3"/>
      <c r="M830" s="6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</row>
    <row r="831" spans="1:37" ht="16.5" customHeight="1">
      <c r="A831" s="2"/>
      <c r="B831" s="11"/>
      <c r="C831" s="2"/>
      <c r="D831" s="3"/>
      <c r="E831" s="3"/>
      <c r="F831" s="2"/>
      <c r="G831" s="12"/>
      <c r="H831" s="12"/>
      <c r="I831" s="13"/>
      <c r="J831" s="13"/>
      <c r="K831" s="15"/>
      <c r="L831" s="3"/>
      <c r="M831" s="6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</row>
    <row r="832" spans="1:37" ht="16.5" customHeight="1">
      <c r="A832" s="2"/>
      <c r="B832" s="11"/>
      <c r="C832" s="2"/>
      <c r="D832" s="3"/>
      <c r="E832" s="3"/>
      <c r="F832" s="2"/>
      <c r="G832" s="12"/>
      <c r="H832" s="12"/>
      <c r="I832" s="13"/>
      <c r="J832" s="13"/>
      <c r="K832" s="15"/>
      <c r="L832" s="3"/>
      <c r="M832" s="6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</row>
    <row r="833" spans="1:37" ht="16.5" customHeight="1">
      <c r="A833" s="2"/>
      <c r="B833" s="11"/>
      <c r="C833" s="2"/>
      <c r="D833" s="3"/>
      <c r="E833" s="3"/>
      <c r="F833" s="2"/>
      <c r="G833" s="12"/>
      <c r="H833" s="12"/>
      <c r="I833" s="13"/>
      <c r="J833" s="13"/>
      <c r="K833" s="15"/>
      <c r="L833" s="3"/>
      <c r="M833" s="6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</row>
    <row r="834" spans="1:37" ht="16.5" customHeight="1">
      <c r="A834" s="2"/>
      <c r="B834" s="11"/>
      <c r="C834" s="2"/>
      <c r="D834" s="3"/>
      <c r="E834" s="3"/>
      <c r="F834" s="2"/>
      <c r="G834" s="12"/>
      <c r="H834" s="12"/>
      <c r="I834" s="13"/>
      <c r="J834" s="13"/>
      <c r="K834" s="15"/>
      <c r="L834" s="3"/>
      <c r="M834" s="6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</row>
    <row r="835" spans="1:37" ht="16.5" customHeight="1">
      <c r="A835" s="2"/>
      <c r="B835" s="11"/>
      <c r="C835" s="2"/>
      <c r="D835" s="3"/>
      <c r="E835" s="3"/>
      <c r="F835" s="2"/>
      <c r="G835" s="12"/>
      <c r="H835" s="12"/>
      <c r="I835" s="13"/>
      <c r="J835" s="13"/>
      <c r="K835" s="15"/>
      <c r="L835" s="3"/>
      <c r="M835" s="6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</row>
    <row r="836" spans="1:37" ht="16.5" customHeight="1">
      <c r="A836" s="2"/>
      <c r="B836" s="11"/>
      <c r="C836" s="2"/>
      <c r="D836" s="3"/>
      <c r="E836" s="3"/>
      <c r="F836" s="2"/>
      <c r="G836" s="12"/>
      <c r="H836" s="12"/>
      <c r="I836" s="13"/>
      <c r="J836" s="13"/>
      <c r="K836" s="15"/>
      <c r="L836" s="3"/>
      <c r="M836" s="6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</row>
    <row r="837" spans="1:37" ht="16.5" customHeight="1">
      <c r="A837" s="2"/>
      <c r="B837" s="11"/>
      <c r="C837" s="2"/>
      <c r="D837" s="3"/>
      <c r="E837" s="3"/>
      <c r="F837" s="2"/>
      <c r="G837" s="12"/>
      <c r="H837" s="12"/>
      <c r="I837" s="13"/>
      <c r="J837" s="13"/>
      <c r="K837" s="15"/>
      <c r="L837" s="3"/>
      <c r="M837" s="6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</row>
    <row r="838" spans="1:37" ht="16.5" customHeight="1">
      <c r="A838" s="2"/>
      <c r="B838" s="11"/>
      <c r="C838" s="2"/>
      <c r="D838" s="3"/>
      <c r="E838" s="3"/>
      <c r="F838" s="2"/>
      <c r="G838" s="12"/>
      <c r="H838" s="12"/>
      <c r="I838" s="13"/>
      <c r="J838" s="13"/>
      <c r="K838" s="15"/>
      <c r="L838" s="3"/>
      <c r="M838" s="6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</row>
    <row r="839" spans="1:37" ht="16.5" customHeight="1">
      <c r="A839" s="2"/>
      <c r="B839" s="11"/>
      <c r="C839" s="2"/>
      <c r="D839" s="3"/>
      <c r="E839" s="3"/>
      <c r="F839" s="2"/>
      <c r="G839" s="12"/>
      <c r="H839" s="12"/>
      <c r="I839" s="13"/>
      <c r="J839" s="13"/>
      <c r="K839" s="15"/>
      <c r="L839" s="3"/>
      <c r="M839" s="6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</row>
    <row r="840" spans="1:37" ht="16.5" customHeight="1">
      <c r="A840" s="2"/>
      <c r="B840" s="11"/>
      <c r="C840" s="2"/>
      <c r="D840" s="3"/>
      <c r="E840" s="3"/>
      <c r="F840" s="2"/>
      <c r="G840" s="12"/>
      <c r="H840" s="12"/>
      <c r="I840" s="13"/>
      <c r="J840" s="13"/>
      <c r="K840" s="15"/>
      <c r="L840" s="3"/>
      <c r="M840" s="6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</row>
    <row r="841" spans="1:37" ht="16.5" customHeight="1">
      <c r="A841" s="2"/>
      <c r="B841" s="11"/>
      <c r="C841" s="2"/>
      <c r="D841" s="3"/>
      <c r="E841" s="3"/>
      <c r="F841" s="2"/>
      <c r="G841" s="12"/>
      <c r="H841" s="12"/>
      <c r="I841" s="13"/>
      <c r="J841" s="13"/>
      <c r="K841" s="15"/>
      <c r="L841" s="3"/>
      <c r="M841" s="6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</row>
    <row r="842" spans="1:37" ht="16.5" customHeight="1">
      <c r="A842" s="2"/>
      <c r="B842" s="11"/>
      <c r="C842" s="2"/>
      <c r="D842" s="3"/>
      <c r="E842" s="3"/>
      <c r="F842" s="2"/>
      <c r="G842" s="12"/>
      <c r="H842" s="12"/>
      <c r="I842" s="13"/>
      <c r="J842" s="13"/>
      <c r="K842" s="15"/>
      <c r="L842" s="3"/>
      <c r="M842" s="6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</row>
    <row r="843" spans="1:37" ht="16.5" customHeight="1">
      <c r="A843" s="2"/>
      <c r="B843" s="11"/>
      <c r="C843" s="2"/>
      <c r="D843" s="3"/>
      <c r="E843" s="3"/>
      <c r="F843" s="2"/>
      <c r="G843" s="12"/>
      <c r="H843" s="12"/>
      <c r="I843" s="13"/>
      <c r="J843" s="13"/>
      <c r="K843" s="15"/>
      <c r="L843" s="3"/>
      <c r="M843" s="6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</row>
    <row r="844" spans="1:37" ht="16.5" customHeight="1">
      <c r="A844" s="2"/>
      <c r="B844" s="11"/>
      <c r="C844" s="2"/>
      <c r="D844" s="3"/>
      <c r="E844" s="3"/>
      <c r="F844" s="2"/>
      <c r="G844" s="12"/>
      <c r="H844" s="12"/>
      <c r="I844" s="13"/>
      <c r="J844" s="13"/>
      <c r="K844" s="15"/>
      <c r="L844" s="3"/>
      <c r="M844" s="6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</row>
    <row r="845" spans="1:37" ht="16.5" customHeight="1">
      <c r="A845" s="2"/>
      <c r="B845" s="11"/>
      <c r="C845" s="2"/>
      <c r="D845" s="3"/>
      <c r="E845" s="3"/>
      <c r="F845" s="2"/>
      <c r="G845" s="12"/>
      <c r="H845" s="12"/>
      <c r="I845" s="13"/>
      <c r="J845" s="13"/>
      <c r="K845" s="15"/>
      <c r="L845" s="3"/>
      <c r="M845" s="6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</row>
    <row r="846" spans="1:37" ht="16.5" customHeight="1">
      <c r="A846" s="2"/>
      <c r="B846" s="11"/>
      <c r="C846" s="2"/>
      <c r="D846" s="3"/>
      <c r="E846" s="3"/>
      <c r="F846" s="2"/>
      <c r="G846" s="12"/>
      <c r="H846" s="12"/>
      <c r="I846" s="13"/>
      <c r="J846" s="13"/>
      <c r="K846" s="15"/>
      <c r="L846" s="3"/>
      <c r="M846" s="6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</row>
    <row r="847" spans="1:37" ht="16.5" customHeight="1">
      <c r="A847" s="2"/>
      <c r="B847" s="11"/>
      <c r="C847" s="2"/>
      <c r="D847" s="3"/>
      <c r="E847" s="3"/>
      <c r="F847" s="2"/>
      <c r="G847" s="12"/>
      <c r="H847" s="12"/>
      <c r="I847" s="13"/>
      <c r="J847" s="13"/>
      <c r="K847" s="15"/>
      <c r="L847" s="3"/>
      <c r="M847" s="6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</row>
    <row r="848" spans="1:37" ht="16.5" customHeight="1">
      <c r="A848" s="2"/>
      <c r="B848" s="11"/>
      <c r="C848" s="2"/>
      <c r="D848" s="3"/>
      <c r="E848" s="3"/>
      <c r="F848" s="2"/>
      <c r="G848" s="12"/>
      <c r="H848" s="12"/>
      <c r="I848" s="13"/>
      <c r="J848" s="13"/>
      <c r="K848" s="15"/>
      <c r="L848" s="3"/>
      <c r="M848" s="6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</row>
    <row r="849" spans="1:37" ht="16.5" customHeight="1">
      <c r="A849" s="2"/>
      <c r="B849" s="11"/>
      <c r="C849" s="2"/>
      <c r="D849" s="3"/>
      <c r="E849" s="3"/>
      <c r="F849" s="2"/>
      <c r="G849" s="12"/>
      <c r="H849" s="12"/>
      <c r="I849" s="13"/>
      <c r="J849" s="13"/>
      <c r="K849" s="15"/>
      <c r="L849" s="3"/>
      <c r="M849" s="6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</row>
    <row r="850" spans="1:37" ht="16.5" customHeight="1">
      <c r="A850" s="2"/>
      <c r="B850" s="11"/>
      <c r="C850" s="2"/>
      <c r="D850" s="3"/>
      <c r="E850" s="3"/>
      <c r="F850" s="2"/>
      <c r="G850" s="12"/>
      <c r="H850" s="12"/>
      <c r="I850" s="13"/>
      <c r="J850" s="13"/>
      <c r="K850" s="15"/>
      <c r="L850" s="3"/>
      <c r="M850" s="6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</row>
    <row r="851" spans="1:37" ht="16.5" customHeight="1">
      <c r="A851" s="2"/>
      <c r="B851" s="11"/>
      <c r="C851" s="2"/>
      <c r="D851" s="3"/>
      <c r="E851" s="3"/>
      <c r="F851" s="2"/>
      <c r="G851" s="12"/>
      <c r="H851" s="12"/>
      <c r="I851" s="13"/>
      <c r="J851" s="13"/>
      <c r="K851" s="15"/>
      <c r="L851" s="3"/>
      <c r="M851" s="6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</row>
    <row r="852" spans="1:37" ht="16.5" customHeight="1">
      <c r="A852" s="2"/>
      <c r="B852" s="11"/>
      <c r="C852" s="2"/>
      <c r="D852" s="3"/>
      <c r="E852" s="3"/>
      <c r="F852" s="2"/>
      <c r="G852" s="12"/>
      <c r="H852" s="12"/>
      <c r="I852" s="13"/>
      <c r="J852" s="13"/>
      <c r="K852" s="15"/>
      <c r="L852" s="3"/>
      <c r="M852" s="6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</row>
    <row r="853" spans="1:37" ht="16.5" customHeight="1">
      <c r="A853" s="2"/>
      <c r="B853" s="11"/>
      <c r="C853" s="2"/>
      <c r="D853" s="3"/>
      <c r="E853" s="3"/>
      <c r="F853" s="2"/>
      <c r="G853" s="12"/>
      <c r="H853" s="12"/>
      <c r="I853" s="13"/>
      <c r="J853" s="13"/>
      <c r="K853" s="15"/>
      <c r="L853" s="3"/>
      <c r="M853" s="6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</row>
    <row r="854" spans="1:37" ht="16.5" customHeight="1">
      <c r="A854" s="2"/>
      <c r="B854" s="11"/>
      <c r="C854" s="2"/>
      <c r="D854" s="3"/>
      <c r="E854" s="3"/>
      <c r="F854" s="2"/>
      <c r="G854" s="12"/>
      <c r="H854" s="12"/>
      <c r="I854" s="13"/>
      <c r="J854" s="13"/>
      <c r="K854" s="15"/>
      <c r="L854" s="3"/>
      <c r="M854" s="6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</row>
    <row r="855" spans="1:37" ht="16.5" customHeight="1">
      <c r="A855" s="2"/>
      <c r="B855" s="11"/>
      <c r="C855" s="2"/>
      <c r="D855" s="3"/>
      <c r="E855" s="3"/>
      <c r="F855" s="2"/>
      <c r="G855" s="12"/>
      <c r="H855" s="12"/>
      <c r="I855" s="13"/>
      <c r="J855" s="13"/>
      <c r="K855" s="15"/>
      <c r="L855" s="3"/>
      <c r="M855" s="6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</row>
    <row r="856" spans="1:37" ht="16.5" customHeight="1">
      <c r="A856" s="2"/>
      <c r="B856" s="11"/>
      <c r="C856" s="2"/>
      <c r="D856" s="3"/>
      <c r="E856" s="3"/>
      <c r="F856" s="2"/>
      <c r="G856" s="12"/>
      <c r="H856" s="12"/>
      <c r="I856" s="13"/>
      <c r="J856" s="13"/>
      <c r="K856" s="15"/>
      <c r="L856" s="3"/>
      <c r="M856" s="6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</row>
    <row r="857" spans="1:37" ht="16.5" customHeight="1">
      <c r="A857" s="2"/>
      <c r="B857" s="11"/>
      <c r="C857" s="2"/>
      <c r="D857" s="3"/>
      <c r="E857" s="3"/>
      <c r="F857" s="2"/>
      <c r="G857" s="12"/>
      <c r="H857" s="12"/>
      <c r="I857" s="13"/>
      <c r="J857" s="13"/>
      <c r="K857" s="15"/>
      <c r="L857" s="3"/>
      <c r="M857" s="6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</row>
    <row r="858" spans="1:37" ht="16.5" customHeight="1">
      <c r="A858" s="2"/>
      <c r="B858" s="11"/>
      <c r="C858" s="2"/>
      <c r="D858" s="3"/>
      <c r="E858" s="3"/>
      <c r="F858" s="2"/>
      <c r="G858" s="12"/>
      <c r="H858" s="12"/>
      <c r="I858" s="13"/>
      <c r="J858" s="13"/>
      <c r="K858" s="15"/>
      <c r="L858" s="3"/>
      <c r="M858" s="6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</row>
    <row r="859" spans="1:37" ht="16.5" customHeight="1">
      <c r="A859" s="2"/>
      <c r="B859" s="11"/>
      <c r="C859" s="2"/>
      <c r="D859" s="3"/>
      <c r="E859" s="3"/>
      <c r="F859" s="2"/>
      <c r="G859" s="12"/>
      <c r="H859" s="12"/>
      <c r="I859" s="13"/>
      <c r="J859" s="13"/>
      <c r="K859" s="15"/>
      <c r="L859" s="3"/>
      <c r="M859" s="6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</row>
    <row r="860" spans="1:37" ht="16.5" customHeight="1">
      <c r="A860" s="2"/>
      <c r="B860" s="11"/>
      <c r="C860" s="2"/>
      <c r="D860" s="3"/>
      <c r="E860" s="3"/>
      <c r="F860" s="2"/>
      <c r="G860" s="12"/>
      <c r="H860" s="12"/>
      <c r="I860" s="13"/>
      <c r="J860" s="13"/>
      <c r="K860" s="15"/>
      <c r="L860" s="3"/>
      <c r="M860" s="6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</row>
    <row r="861" spans="1:37" ht="16.5" customHeight="1">
      <c r="A861" s="2"/>
      <c r="B861" s="11"/>
      <c r="C861" s="2"/>
      <c r="D861" s="3"/>
      <c r="E861" s="3"/>
      <c r="F861" s="2"/>
      <c r="G861" s="12"/>
      <c r="H861" s="12"/>
      <c r="I861" s="13"/>
      <c r="J861" s="13"/>
      <c r="K861" s="15"/>
      <c r="L861" s="3"/>
      <c r="M861" s="6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</row>
    <row r="862" spans="1:37" ht="16.5" customHeight="1">
      <c r="A862" s="2"/>
      <c r="B862" s="11"/>
      <c r="C862" s="2"/>
      <c r="D862" s="3"/>
      <c r="E862" s="3"/>
      <c r="F862" s="2"/>
      <c r="G862" s="12"/>
      <c r="H862" s="12"/>
      <c r="I862" s="13"/>
      <c r="J862" s="13"/>
      <c r="K862" s="15"/>
      <c r="L862" s="3"/>
      <c r="M862" s="6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</row>
    <row r="863" spans="1:37" ht="16.5" customHeight="1">
      <c r="A863" s="2"/>
      <c r="B863" s="11"/>
      <c r="C863" s="2"/>
      <c r="D863" s="3"/>
      <c r="E863" s="3"/>
      <c r="F863" s="2"/>
      <c r="G863" s="12"/>
      <c r="H863" s="12"/>
      <c r="I863" s="13"/>
      <c r="J863" s="13"/>
      <c r="K863" s="15"/>
      <c r="L863" s="3"/>
      <c r="M863" s="6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</row>
    <row r="864" spans="1:37" ht="16.5" customHeight="1">
      <c r="A864" s="2"/>
      <c r="B864" s="11"/>
      <c r="C864" s="2"/>
      <c r="D864" s="3"/>
      <c r="E864" s="3"/>
      <c r="F864" s="2"/>
      <c r="G864" s="12"/>
      <c r="H864" s="12"/>
      <c r="I864" s="13"/>
      <c r="J864" s="13"/>
      <c r="K864" s="15"/>
      <c r="L864" s="3"/>
      <c r="M864" s="6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</row>
    <row r="865" spans="1:37" ht="16.5" customHeight="1">
      <c r="A865" s="2"/>
      <c r="B865" s="11"/>
      <c r="C865" s="2"/>
      <c r="D865" s="3"/>
      <c r="E865" s="3"/>
      <c r="F865" s="2"/>
      <c r="G865" s="12"/>
      <c r="H865" s="12"/>
      <c r="I865" s="13"/>
      <c r="J865" s="13"/>
      <c r="K865" s="15"/>
      <c r="L865" s="3"/>
      <c r="M865" s="6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</row>
    <row r="866" spans="1:37" ht="16.5" customHeight="1">
      <c r="A866" s="2"/>
      <c r="B866" s="11"/>
      <c r="C866" s="2"/>
      <c r="D866" s="3"/>
      <c r="E866" s="3"/>
      <c r="F866" s="2"/>
      <c r="G866" s="12"/>
      <c r="H866" s="12"/>
      <c r="I866" s="13"/>
      <c r="J866" s="13"/>
      <c r="K866" s="15"/>
      <c r="L866" s="3"/>
      <c r="M866" s="6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</row>
    <row r="867" spans="1:37" ht="16.5" customHeight="1">
      <c r="A867" s="2"/>
      <c r="B867" s="11"/>
      <c r="C867" s="2"/>
      <c r="D867" s="3"/>
      <c r="E867" s="3"/>
      <c r="F867" s="2"/>
      <c r="G867" s="12"/>
      <c r="H867" s="12"/>
      <c r="I867" s="13"/>
      <c r="J867" s="13"/>
      <c r="K867" s="15"/>
      <c r="L867" s="3"/>
      <c r="M867" s="6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</row>
    <row r="868" spans="1:37" ht="16.5" customHeight="1">
      <c r="A868" s="2"/>
      <c r="B868" s="11"/>
      <c r="C868" s="2"/>
      <c r="D868" s="3"/>
      <c r="E868" s="3"/>
      <c r="F868" s="2"/>
      <c r="G868" s="12"/>
      <c r="H868" s="12"/>
      <c r="I868" s="13"/>
      <c r="J868" s="13"/>
      <c r="K868" s="15"/>
      <c r="L868" s="3"/>
      <c r="M868" s="6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</row>
    <row r="869" spans="1:37" ht="16.5" customHeight="1">
      <c r="A869" s="2"/>
      <c r="B869" s="11"/>
      <c r="C869" s="2"/>
      <c r="D869" s="3"/>
      <c r="E869" s="3"/>
      <c r="F869" s="2"/>
      <c r="G869" s="12"/>
      <c r="H869" s="12"/>
      <c r="I869" s="13"/>
      <c r="J869" s="13"/>
      <c r="K869" s="15"/>
      <c r="L869" s="3"/>
      <c r="M869" s="6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</row>
    <row r="870" spans="1:37" ht="16.5" customHeight="1">
      <c r="A870" s="2"/>
      <c r="B870" s="11"/>
      <c r="C870" s="2"/>
      <c r="D870" s="3"/>
      <c r="E870" s="3"/>
      <c r="F870" s="2"/>
      <c r="G870" s="12"/>
      <c r="H870" s="12"/>
      <c r="I870" s="13"/>
      <c r="J870" s="13"/>
      <c r="K870" s="15"/>
      <c r="L870" s="3"/>
      <c r="M870" s="6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</row>
    <row r="871" spans="1:37" ht="16.5" customHeight="1">
      <c r="A871" s="2"/>
      <c r="B871" s="11"/>
      <c r="C871" s="2"/>
      <c r="D871" s="3"/>
      <c r="E871" s="3"/>
      <c r="F871" s="2"/>
      <c r="G871" s="12"/>
      <c r="H871" s="12"/>
      <c r="I871" s="13"/>
      <c r="J871" s="13"/>
      <c r="K871" s="15"/>
      <c r="L871" s="3"/>
      <c r="M871" s="6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</row>
    <row r="872" spans="1:37" ht="16.5" customHeight="1">
      <c r="A872" s="2"/>
      <c r="B872" s="11"/>
      <c r="C872" s="2"/>
      <c r="D872" s="3"/>
      <c r="E872" s="3"/>
      <c r="F872" s="2"/>
      <c r="G872" s="12"/>
      <c r="H872" s="12"/>
      <c r="I872" s="13"/>
      <c r="J872" s="13"/>
      <c r="K872" s="15"/>
      <c r="L872" s="3"/>
      <c r="M872" s="6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</row>
    <row r="873" spans="1:37" ht="16.5" customHeight="1">
      <c r="A873" s="2"/>
      <c r="B873" s="11"/>
      <c r="C873" s="2"/>
      <c r="D873" s="3"/>
      <c r="E873" s="3"/>
      <c r="F873" s="2"/>
      <c r="G873" s="12"/>
      <c r="H873" s="12"/>
      <c r="I873" s="13"/>
      <c r="J873" s="13"/>
      <c r="K873" s="15"/>
      <c r="L873" s="3"/>
      <c r="M873" s="6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</row>
    <row r="874" spans="1:37" ht="16.5" customHeight="1">
      <c r="A874" s="2"/>
      <c r="B874" s="11"/>
      <c r="C874" s="2"/>
      <c r="D874" s="3"/>
      <c r="E874" s="3"/>
      <c r="F874" s="2"/>
      <c r="G874" s="12"/>
      <c r="H874" s="12"/>
      <c r="I874" s="13"/>
      <c r="J874" s="13"/>
      <c r="K874" s="15"/>
      <c r="L874" s="3"/>
      <c r="M874" s="6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</row>
    <row r="875" spans="1:37" ht="16.5" customHeight="1">
      <c r="A875" s="2"/>
      <c r="B875" s="11"/>
      <c r="C875" s="2"/>
      <c r="D875" s="3"/>
      <c r="E875" s="3"/>
      <c r="F875" s="2"/>
      <c r="G875" s="12"/>
      <c r="H875" s="12"/>
      <c r="I875" s="13"/>
      <c r="J875" s="13"/>
      <c r="K875" s="15"/>
      <c r="L875" s="3"/>
      <c r="M875" s="6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</row>
    <row r="876" spans="1:37" ht="16.5" customHeight="1">
      <c r="A876" s="2"/>
      <c r="B876" s="11"/>
      <c r="C876" s="2"/>
      <c r="D876" s="3"/>
      <c r="E876" s="3"/>
      <c r="F876" s="2"/>
      <c r="G876" s="12"/>
      <c r="H876" s="12"/>
      <c r="I876" s="13"/>
      <c r="J876" s="13"/>
      <c r="K876" s="15"/>
      <c r="L876" s="3"/>
      <c r="M876" s="6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</row>
    <row r="877" spans="1:37" ht="16.5" customHeight="1">
      <c r="A877" s="2"/>
      <c r="B877" s="11"/>
      <c r="C877" s="2"/>
      <c r="D877" s="3"/>
      <c r="E877" s="3"/>
      <c r="F877" s="2"/>
      <c r="G877" s="12"/>
      <c r="H877" s="12"/>
      <c r="I877" s="13"/>
      <c r="J877" s="13"/>
      <c r="K877" s="15"/>
      <c r="L877" s="3"/>
      <c r="M877" s="6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</row>
    <row r="878" spans="1:37" ht="16.5" customHeight="1">
      <c r="A878" s="2"/>
      <c r="B878" s="11"/>
      <c r="C878" s="2"/>
      <c r="D878" s="3"/>
      <c r="E878" s="3"/>
      <c r="F878" s="2"/>
      <c r="G878" s="12"/>
      <c r="H878" s="12"/>
      <c r="I878" s="13"/>
      <c r="J878" s="13"/>
      <c r="K878" s="15"/>
      <c r="L878" s="3"/>
      <c r="M878" s="6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</row>
    <row r="879" spans="1:37" ht="16.5" customHeight="1">
      <c r="A879" s="2"/>
      <c r="B879" s="11"/>
      <c r="C879" s="2"/>
      <c r="D879" s="3"/>
      <c r="E879" s="3"/>
      <c r="F879" s="2"/>
      <c r="G879" s="12"/>
      <c r="H879" s="12"/>
      <c r="I879" s="13"/>
      <c r="J879" s="13"/>
      <c r="K879" s="15"/>
      <c r="L879" s="3"/>
      <c r="M879" s="6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</row>
    <row r="880" spans="1:37" ht="16.5" customHeight="1">
      <c r="A880" s="2"/>
      <c r="B880" s="11"/>
      <c r="C880" s="2"/>
      <c r="D880" s="3"/>
      <c r="E880" s="3"/>
      <c r="F880" s="2"/>
      <c r="G880" s="12"/>
      <c r="H880" s="12"/>
      <c r="I880" s="13"/>
      <c r="J880" s="13"/>
      <c r="K880" s="15"/>
      <c r="L880" s="3"/>
      <c r="M880" s="6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</row>
    <row r="881" spans="1:37" ht="16.5" customHeight="1">
      <c r="A881" s="2"/>
      <c r="B881" s="11"/>
      <c r="C881" s="2"/>
      <c r="D881" s="3"/>
      <c r="E881" s="3"/>
      <c r="F881" s="2"/>
      <c r="G881" s="12"/>
      <c r="H881" s="12"/>
      <c r="I881" s="13"/>
      <c r="J881" s="13"/>
      <c r="K881" s="15"/>
      <c r="L881" s="3"/>
      <c r="M881" s="6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</row>
    <row r="882" spans="1:37" ht="16.5" customHeight="1">
      <c r="A882" s="2"/>
      <c r="B882" s="11"/>
      <c r="C882" s="2"/>
      <c r="D882" s="3"/>
      <c r="E882" s="3"/>
      <c r="F882" s="2"/>
      <c r="G882" s="12"/>
      <c r="H882" s="12"/>
      <c r="I882" s="13"/>
      <c r="J882" s="13"/>
      <c r="K882" s="15"/>
      <c r="L882" s="3"/>
      <c r="M882" s="6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</row>
    <row r="883" spans="1:37" ht="16.5" customHeight="1">
      <c r="A883" s="2"/>
      <c r="B883" s="11"/>
      <c r="C883" s="2"/>
      <c r="D883" s="3"/>
      <c r="E883" s="3"/>
      <c r="F883" s="2"/>
      <c r="G883" s="12"/>
      <c r="H883" s="12"/>
      <c r="I883" s="13"/>
      <c r="J883" s="13"/>
      <c r="K883" s="15"/>
      <c r="L883" s="3"/>
      <c r="M883" s="6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</row>
    <row r="884" spans="1:37" ht="16.5" customHeight="1">
      <c r="A884" s="2"/>
      <c r="B884" s="11"/>
      <c r="C884" s="2"/>
      <c r="D884" s="3"/>
      <c r="E884" s="3"/>
      <c r="F884" s="2"/>
      <c r="G884" s="12"/>
      <c r="H884" s="12"/>
      <c r="I884" s="13"/>
      <c r="J884" s="13"/>
      <c r="K884" s="15"/>
      <c r="L884" s="3"/>
      <c r="M884" s="6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</row>
    <row r="885" spans="1:37" ht="16.5" customHeight="1">
      <c r="A885" s="2"/>
      <c r="B885" s="11"/>
      <c r="C885" s="2"/>
      <c r="D885" s="3"/>
      <c r="E885" s="3"/>
      <c r="F885" s="2"/>
      <c r="G885" s="12"/>
      <c r="H885" s="12"/>
      <c r="I885" s="13"/>
      <c r="J885" s="13"/>
      <c r="K885" s="15"/>
      <c r="L885" s="3"/>
      <c r="M885" s="6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</row>
    <row r="886" spans="1:37" ht="16.5" customHeight="1">
      <c r="A886" s="2"/>
      <c r="B886" s="11"/>
      <c r="C886" s="2"/>
      <c r="D886" s="3"/>
      <c r="E886" s="3"/>
      <c r="F886" s="2"/>
      <c r="G886" s="12"/>
      <c r="H886" s="12"/>
      <c r="I886" s="13"/>
      <c r="J886" s="13"/>
      <c r="K886" s="15"/>
      <c r="L886" s="3"/>
      <c r="M886" s="6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</row>
    <row r="887" spans="1:37" ht="16.5" customHeight="1">
      <c r="A887" s="2"/>
      <c r="B887" s="11"/>
      <c r="C887" s="2"/>
      <c r="D887" s="3"/>
      <c r="E887" s="3"/>
      <c r="F887" s="2"/>
      <c r="G887" s="12"/>
      <c r="H887" s="12"/>
      <c r="I887" s="13"/>
      <c r="J887" s="13"/>
      <c r="K887" s="15"/>
      <c r="L887" s="3"/>
      <c r="M887" s="6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</row>
    <row r="888" spans="1:37" ht="16.5" customHeight="1">
      <c r="A888" s="2"/>
      <c r="B888" s="11"/>
      <c r="C888" s="2"/>
      <c r="D888" s="3"/>
      <c r="E888" s="3"/>
      <c r="F888" s="2"/>
      <c r="G888" s="12"/>
      <c r="H888" s="12"/>
      <c r="I888" s="13"/>
      <c r="J888" s="13"/>
      <c r="K888" s="15"/>
      <c r="L888" s="3"/>
      <c r="M888" s="6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</row>
    <row r="889" spans="1:37" ht="16.5" customHeight="1">
      <c r="A889" s="2"/>
      <c r="B889" s="11"/>
      <c r="C889" s="2"/>
      <c r="D889" s="3"/>
      <c r="E889" s="3"/>
      <c r="F889" s="2"/>
      <c r="G889" s="12"/>
      <c r="H889" s="12"/>
      <c r="I889" s="13"/>
      <c r="J889" s="13"/>
      <c r="K889" s="15"/>
      <c r="L889" s="3"/>
      <c r="M889" s="6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</row>
    <row r="890" spans="1:37" ht="16.5" customHeight="1">
      <c r="A890" s="2"/>
      <c r="B890" s="11"/>
      <c r="C890" s="2"/>
      <c r="D890" s="3"/>
      <c r="E890" s="3"/>
      <c r="F890" s="2"/>
      <c r="G890" s="12"/>
      <c r="H890" s="12"/>
      <c r="I890" s="13"/>
      <c r="J890" s="13"/>
      <c r="K890" s="15"/>
      <c r="L890" s="3"/>
      <c r="M890" s="6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</row>
    <row r="891" spans="1:37" ht="16.5" customHeight="1">
      <c r="A891" s="2"/>
      <c r="B891" s="11"/>
      <c r="C891" s="2"/>
      <c r="D891" s="3"/>
      <c r="E891" s="3"/>
      <c r="F891" s="2"/>
      <c r="G891" s="12"/>
      <c r="H891" s="12"/>
      <c r="I891" s="13"/>
      <c r="J891" s="13"/>
      <c r="K891" s="15"/>
      <c r="L891" s="3"/>
      <c r="M891" s="6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</row>
    <row r="892" spans="1:37" ht="16.5" customHeight="1">
      <c r="A892" s="2"/>
      <c r="B892" s="11"/>
      <c r="C892" s="2"/>
      <c r="D892" s="3"/>
      <c r="E892" s="3"/>
      <c r="F892" s="2"/>
      <c r="G892" s="12"/>
      <c r="H892" s="12"/>
      <c r="I892" s="13"/>
      <c r="J892" s="13"/>
      <c r="K892" s="15"/>
      <c r="L892" s="3"/>
      <c r="M892" s="6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</row>
    <row r="893" spans="1:37" ht="16.5" customHeight="1">
      <c r="A893" s="2"/>
      <c r="B893" s="11"/>
      <c r="C893" s="2"/>
      <c r="D893" s="3"/>
      <c r="E893" s="3"/>
      <c r="F893" s="2"/>
      <c r="G893" s="12"/>
      <c r="H893" s="12"/>
      <c r="I893" s="13"/>
      <c r="J893" s="13"/>
      <c r="K893" s="15"/>
      <c r="L893" s="3"/>
      <c r="M893" s="6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</row>
    <row r="894" spans="1:37" ht="16.5" customHeight="1">
      <c r="A894" s="2"/>
      <c r="B894" s="11"/>
      <c r="C894" s="2"/>
      <c r="D894" s="3"/>
      <c r="E894" s="3"/>
      <c r="F894" s="2"/>
      <c r="G894" s="12"/>
      <c r="H894" s="12"/>
      <c r="I894" s="13"/>
      <c r="J894" s="13"/>
      <c r="K894" s="15"/>
      <c r="L894" s="3"/>
      <c r="M894" s="6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</row>
    <row r="895" spans="1:37" ht="16.5" customHeight="1">
      <c r="A895" s="2"/>
      <c r="B895" s="11"/>
      <c r="C895" s="2"/>
      <c r="D895" s="3"/>
      <c r="E895" s="3"/>
      <c r="F895" s="2"/>
      <c r="G895" s="12"/>
      <c r="H895" s="12"/>
      <c r="I895" s="13"/>
      <c r="J895" s="13"/>
      <c r="K895" s="15"/>
      <c r="L895" s="3"/>
      <c r="M895" s="6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</row>
    <row r="896" spans="1:37" ht="16.5" customHeight="1">
      <c r="A896" s="2"/>
      <c r="B896" s="11"/>
      <c r="C896" s="2"/>
      <c r="D896" s="3"/>
      <c r="E896" s="3"/>
      <c r="F896" s="2"/>
      <c r="G896" s="12"/>
      <c r="H896" s="12"/>
      <c r="I896" s="13"/>
      <c r="J896" s="13"/>
      <c r="K896" s="15"/>
      <c r="L896" s="3"/>
      <c r="M896" s="6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</row>
    <row r="897" spans="1:37" ht="16.5" customHeight="1">
      <c r="A897" s="2"/>
      <c r="B897" s="11"/>
      <c r="C897" s="2"/>
      <c r="D897" s="3"/>
      <c r="E897" s="3"/>
      <c r="F897" s="2"/>
      <c r="G897" s="12"/>
      <c r="H897" s="12"/>
      <c r="I897" s="13"/>
      <c r="J897" s="13"/>
      <c r="K897" s="15"/>
      <c r="L897" s="3"/>
      <c r="M897" s="6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</row>
    <row r="898" spans="1:37" ht="16.5" customHeight="1">
      <c r="A898" s="2"/>
      <c r="B898" s="11"/>
      <c r="C898" s="2"/>
      <c r="D898" s="3"/>
      <c r="E898" s="3"/>
      <c r="F898" s="2"/>
      <c r="G898" s="12"/>
      <c r="H898" s="12"/>
      <c r="I898" s="13"/>
      <c r="J898" s="13"/>
      <c r="K898" s="15"/>
      <c r="L898" s="3"/>
      <c r="M898" s="6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</row>
    <row r="899" spans="1:37" ht="16.5" customHeight="1">
      <c r="A899" s="2"/>
      <c r="B899" s="11"/>
      <c r="C899" s="2"/>
      <c r="D899" s="3"/>
      <c r="E899" s="3"/>
      <c r="F899" s="2"/>
      <c r="G899" s="12"/>
      <c r="H899" s="12"/>
      <c r="I899" s="13"/>
      <c r="J899" s="13"/>
      <c r="K899" s="15"/>
      <c r="L899" s="3"/>
      <c r="M899" s="6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</row>
    <row r="900" spans="1:37" ht="16.5" customHeight="1">
      <c r="A900" s="2"/>
      <c r="B900" s="11"/>
      <c r="C900" s="2"/>
      <c r="D900" s="3"/>
      <c r="E900" s="3"/>
      <c r="F900" s="2"/>
      <c r="G900" s="12"/>
      <c r="H900" s="12"/>
      <c r="I900" s="13"/>
      <c r="J900" s="13"/>
      <c r="K900" s="15"/>
      <c r="L900" s="3"/>
      <c r="M900" s="6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</row>
    <row r="901" spans="1:37" ht="16.5" customHeight="1">
      <c r="A901" s="2"/>
      <c r="B901" s="11"/>
      <c r="C901" s="2"/>
      <c r="D901" s="3"/>
      <c r="E901" s="3"/>
      <c r="F901" s="2"/>
      <c r="G901" s="12"/>
      <c r="H901" s="12"/>
      <c r="I901" s="13"/>
      <c r="J901" s="13"/>
      <c r="K901" s="15"/>
      <c r="L901" s="3"/>
      <c r="M901" s="6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</row>
    <row r="902" spans="1:37" ht="16.5" customHeight="1">
      <c r="A902" s="2"/>
      <c r="B902" s="11"/>
      <c r="C902" s="2"/>
      <c r="D902" s="3"/>
      <c r="E902" s="3"/>
      <c r="F902" s="2"/>
      <c r="G902" s="12"/>
      <c r="H902" s="12"/>
      <c r="I902" s="13"/>
      <c r="J902" s="13"/>
      <c r="K902" s="15"/>
      <c r="L902" s="3"/>
      <c r="M902" s="6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</row>
    <row r="903" spans="1:37" ht="16.5" customHeight="1">
      <c r="A903" s="2"/>
      <c r="B903" s="11"/>
      <c r="C903" s="2"/>
      <c r="D903" s="3"/>
      <c r="E903" s="3"/>
      <c r="F903" s="2"/>
      <c r="G903" s="12"/>
      <c r="H903" s="12"/>
      <c r="I903" s="13"/>
      <c r="J903" s="13"/>
      <c r="K903" s="15"/>
      <c r="L903" s="3"/>
      <c r="M903" s="6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</row>
    <row r="904" spans="1:37" ht="16.5" customHeight="1">
      <c r="A904" s="2"/>
      <c r="B904" s="11"/>
      <c r="C904" s="2"/>
      <c r="D904" s="3"/>
      <c r="E904" s="3"/>
      <c r="F904" s="2"/>
      <c r="G904" s="12"/>
      <c r="H904" s="12"/>
      <c r="I904" s="13"/>
      <c r="J904" s="13"/>
      <c r="K904" s="15"/>
      <c r="L904" s="3"/>
      <c r="M904" s="6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</row>
    <row r="905" spans="1:37" ht="16.5" customHeight="1">
      <c r="A905" s="2"/>
      <c r="B905" s="11"/>
      <c r="C905" s="2"/>
      <c r="D905" s="3"/>
      <c r="E905" s="3"/>
      <c r="F905" s="2"/>
      <c r="G905" s="12"/>
      <c r="H905" s="12"/>
      <c r="I905" s="13"/>
      <c r="J905" s="13"/>
      <c r="K905" s="15"/>
      <c r="L905" s="3"/>
      <c r="M905" s="6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</row>
    <row r="906" spans="1:37" ht="16.5" customHeight="1">
      <c r="A906" s="2"/>
      <c r="B906" s="11"/>
      <c r="C906" s="2"/>
      <c r="D906" s="3"/>
      <c r="E906" s="3"/>
      <c r="F906" s="2"/>
      <c r="G906" s="12"/>
      <c r="H906" s="12"/>
      <c r="I906" s="13"/>
      <c r="J906" s="13"/>
      <c r="K906" s="15"/>
      <c r="L906" s="3"/>
      <c r="M906" s="6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</row>
    <row r="907" spans="1:37" ht="16.5" customHeight="1">
      <c r="A907" s="2"/>
      <c r="B907" s="11"/>
      <c r="C907" s="2"/>
      <c r="D907" s="3"/>
      <c r="E907" s="3"/>
      <c r="F907" s="2"/>
      <c r="G907" s="12"/>
      <c r="H907" s="12"/>
      <c r="I907" s="13"/>
      <c r="J907" s="13"/>
      <c r="K907" s="15"/>
      <c r="L907" s="3"/>
      <c r="M907" s="6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</row>
    <row r="908" spans="1:37" ht="16.5" customHeight="1">
      <c r="A908" s="2"/>
      <c r="B908" s="11"/>
      <c r="C908" s="2"/>
      <c r="D908" s="3"/>
      <c r="E908" s="3"/>
      <c r="F908" s="2"/>
      <c r="G908" s="12"/>
      <c r="H908" s="12"/>
      <c r="I908" s="13"/>
      <c r="J908" s="13"/>
      <c r="K908" s="15"/>
      <c r="L908" s="3"/>
      <c r="M908" s="6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</row>
    <row r="909" spans="1:37" ht="16.5" customHeight="1">
      <c r="A909" s="2"/>
      <c r="B909" s="11"/>
      <c r="C909" s="2"/>
      <c r="D909" s="3"/>
      <c r="E909" s="3"/>
      <c r="F909" s="2"/>
      <c r="G909" s="12"/>
      <c r="H909" s="12"/>
      <c r="I909" s="13"/>
      <c r="J909" s="13"/>
      <c r="K909" s="15"/>
      <c r="L909" s="3"/>
      <c r="M909" s="6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</row>
    <row r="910" spans="1:37" ht="16.5" customHeight="1">
      <c r="A910" s="2"/>
      <c r="B910" s="11"/>
      <c r="C910" s="2"/>
      <c r="D910" s="3"/>
      <c r="E910" s="3"/>
      <c r="F910" s="2"/>
      <c r="G910" s="12"/>
      <c r="H910" s="12"/>
      <c r="I910" s="13"/>
      <c r="J910" s="13"/>
      <c r="K910" s="15"/>
      <c r="L910" s="3"/>
      <c r="M910" s="6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</row>
    <row r="911" spans="1:37" ht="16.5" customHeight="1">
      <c r="A911" s="2"/>
      <c r="B911" s="11"/>
      <c r="C911" s="2"/>
      <c r="D911" s="3"/>
      <c r="E911" s="3"/>
      <c r="F911" s="2"/>
      <c r="G911" s="12"/>
      <c r="H911" s="12"/>
      <c r="I911" s="13"/>
      <c r="J911" s="13"/>
      <c r="K911" s="15"/>
      <c r="L911" s="3"/>
      <c r="M911" s="6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</row>
    <row r="912" spans="1:37" ht="16.5" customHeight="1">
      <c r="A912" s="2"/>
      <c r="B912" s="11"/>
      <c r="C912" s="2"/>
      <c r="D912" s="3"/>
      <c r="E912" s="3"/>
      <c r="F912" s="2"/>
      <c r="G912" s="12"/>
      <c r="H912" s="12"/>
      <c r="I912" s="13"/>
      <c r="J912" s="13"/>
      <c r="K912" s="15"/>
      <c r="L912" s="3"/>
      <c r="M912" s="6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</row>
    <row r="913" spans="1:37" ht="16.5" customHeight="1">
      <c r="A913" s="2"/>
      <c r="B913" s="11"/>
      <c r="C913" s="2"/>
      <c r="D913" s="3"/>
      <c r="E913" s="3"/>
      <c r="F913" s="2"/>
      <c r="G913" s="12"/>
      <c r="H913" s="12"/>
      <c r="I913" s="13"/>
      <c r="J913" s="13"/>
      <c r="K913" s="15"/>
      <c r="L913" s="3"/>
      <c r="M913" s="6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</row>
    <row r="914" spans="1:37" ht="16.5" customHeight="1">
      <c r="A914" s="2"/>
      <c r="B914" s="11"/>
      <c r="C914" s="2"/>
      <c r="D914" s="3"/>
      <c r="E914" s="3"/>
      <c r="F914" s="2"/>
      <c r="G914" s="12"/>
      <c r="H914" s="12"/>
      <c r="I914" s="13"/>
      <c r="J914" s="13"/>
      <c r="K914" s="15"/>
      <c r="L914" s="3"/>
      <c r="M914" s="6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</row>
    <row r="915" spans="1:37" ht="16.5" customHeight="1">
      <c r="A915" s="2"/>
      <c r="B915" s="11"/>
      <c r="C915" s="2"/>
      <c r="D915" s="3"/>
      <c r="E915" s="3"/>
      <c r="F915" s="2"/>
      <c r="G915" s="12"/>
      <c r="H915" s="12"/>
      <c r="I915" s="13"/>
      <c r="J915" s="13"/>
      <c r="K915" s="15"/>
      <c r="L915" s="3"/>
      <c r="M915" s="6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</row>
    <row r="916" spans="1:37" ht="16.5" customHeight="1">
      <c r="A916" s="2"/>
      <c r="B916" s="11"/>
      <c r="C916" s="2"/>
      <c r="D916" s="3"/>
      <c r="E916" s="3"/>
      <c r="F916" s="2"/>
      <c r="G916" s="12"/>
      <c r="H916" s="12"/>
      <c r="I916" s="13"/>
      <c r="J916" s="13"/>
      <c r="K916" s="15"/>
      <c r="L916" s="3"/>
      <c r="M916" s="6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</row>
    <row r="917" spans="1:37" ht="16.5" customHeight="1">
      <c r="A917" s="2"/>
      <c r="B917" s="11"/>
      <c r="C917" s="2"/>
      <c r="D917" s="3"/>
      <c r="E917" s="3"/>
      <c r="F917" s="2"/>
      <c r="G917" s="12"/>
      <c r="H917" s="12"/>
      <c r="I917" s="13"/>
      <c r="J917" s="13"/>
      <c r="K917" s="15"/>
      <c r="L917" s="3"/>
      <c r="M917" s="6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</row>
    <row r="918" spans="1:37" ht="16.5" customHeight="1">
      <c r="A918" s="2"/>
      <c r="B918" s="11"/>
      <c r="C918" s="2"/>
      <c r="D918" s="3"/>
      <c r="E918" s="3"/>
      <c r="F918" s="2"/>
      <c r="G918" s="12"/>
      <c r="H918" s="12"/>
      <c r="I918" s="13"/>
      <c r="J918" s="13"/>
      <c r="K918" s="15"/>
      <c r="L918" s="3"/>
      <c r="M918" s="6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</row>
    <row r="919" spans="1:37" ht="16.5" customHeight="1">
      <c r="A919" s="2"/>
      <c r="B919" s="11"/>
      <c r="C919" s="2"/>
      <c r="D919" s="3"/>
      <c r="E919" s="3"/>
      <c r="F919" s="2"/>
      <c r="G919" s="12"/>
      <c r="H919" s="12"/>
      <c r="I919" s="13"/>
      <c r="J919" s="13"/>
      <c r="K919" s="15"/>
      <c r="L919" s="3"/>
      <c r="M919" s="6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</row>
    <row r="920" spans="1:37" ht="16.5" customHeight="1">
      <c r="A920" s="2"/>
      <c r="B920" s="11"/>
      <c r="C920" s="2"/>
      <c r="D920" s="3"/>
      <c r="E920" s="3"/>
      <c r="F920" s="2"/>
      <c r="G920" s="12"/>
      <c r="H920" s="12"/>
      <c r="I920" s="13"/>
      <c r="J920" s="13"/>
      <c r="K920" s="15"/>
      <c r="L920" s="3"/>
      <c r="M920" s="6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</row>
    <row r="921" spans="1:37" ht="16.5" customHeight="1">
      <c r="A921" s="2"/>
      <c r="B921" s="11"/>
      <c r="C921" s="2"/>
      <c r="D921" s="3"/>
      <c r="E921" s="3"/>
      <c r="F921" s="2"/>
      <c r="G921" s="12"/>
      <c r="H921" s="12"/>
      <c r="I921" s="13"/>
      <c r="J921" s="13"/>
      <c r="K921" s="15"/>
      <c r="L921" s="3"/>
      <c r="M921" s="6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</row>
    <row r="922" spans="1:37" ht="16.5" customHeight="1">
      <c r="A922" s="2"/>
      <c r="B922" s="11"/>
      <c r="C922" s="2"/>
      <c r="D922" s="3"/>
      <c r="E922" s="3"/>
      <c r="F922" s="2"/>
      <c r="G922" s="12"/>
      <c r="H922" s="12"/>
      <c r="I922" s="13"/>
      <c r="J922" s="13"/>
      <c r="K922" s="15"/>
      <c r="L922" s="3"/>
      <c r="M922" s="6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</row>
    <row r="923" spans="1:37" ht="16.5" customHeight="1">
      <c r="A923" s="2"/>
      <c r="B923" s="11"/>
      <c r="C923" s="2"/>
      <c r="D923" s="3"/>
      <c r="E923" s="3"/>
      <c r="F923" s="2"/>
      <c r="G923" s="12"/>
      <c r="H923" s="12"/>
      <c r="I923" s="13"/>
      <c r="J923" s="13"/>
      <c r="K923" s="15"/>
      <c r="L923" s="3"/>
      <c r="M923" s="6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</row>
    <row r="924" spans="1:37" ht="16.5" customHeight="1">
      <c r="A924" s="2"/>
      <c r="B924" s="11"/>
      <c r="C924" s="2"/>
      <c r="D924" s="3"/>
      <c r="E924" s="3"/>
      <c r="F924" s="2"/>
      <c r="G924" s="12"/>
      <c r="H924" s="12"/>
      <c r="I924" s="13"/>
      <c r="J924" s="13"/>
      <c r="K924" s="15"/>
      <c r="L924" s="3"/>
      <c r="M924" s="6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</row>
    <row r="925" spans="1:37" ht="16.5" customHeight="1">
      <c r="A925" s="2"/>
      <c r="B925" s="11"/>
      <c r="C925" s="2"/>
      <c r="D925" s="3"/>
      <c r="E925" s="3"/>
      <c r="F925" s="2"/>
      <c r="G925" s="12"/>
      <c r="H925" s="12"/>
      <c r="I925" s="13"/>
      <c r="J925" s="13"/>
      <c r="K925" s="15"/>
      <c r="L925" s="3"/>
      <c r="M925" s="6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</row>
    <row r="926" spans="1:37" ht="16.5" customHeight="1">
      <c r="A926" s="2"/>
      <c r="B926" s="11"/>
      <c r="C926" s="2"/>
      <c r="D926" s="3"/>
      <c r="E926" s="3"/>
      <c r="F926" s="2"/>
      <c r="G926" s="12"/>
      <c r="H926" s="12"/>
      <c r="I926" s="13"/>
      <c r="J926" s="13"/>
      <c r="K926" s="15"/>
      <c r="L926" s="3"/>
      <c r="M926" s="6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</row>
    <row r="927" spans="1:37" ht="16.5" customHeight="1">
      <c r="A927" s="2"/>
      <c r="B927" s="11"/>
      <c r="C927" s="2"/>
      <c r="D927" s="3"/>
      <c r="E927" s="3"/>
      <c r="F927" s="2"/>
      <c r="G927" s="12"/>
      <c r="H927" s="12"/>
      <c r="I927" s="13"/>
      <c r="J927" s="13"/>
      <c r="K927" s="15"/>
      <c r="L927" s="3"/>
      <c r="M927" s="6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</row>
    <row r="928" spans="1:37" ht="16.5" customHeight="1">
      <c r="A928" s="2"/>
      <c r="B928" s="11"/>
      <c r="C928" s="2"/>
      <c r="D928" s="3"/>
      <c r="E928" s="3"/>
      <c r="F928" s="2"/>
      <c r="G928" s="12"/>
      <c r="H928" s="12"/>
      <c r="I928" s="13"/>
      <c r="J928" s="13"/>
      <c r="K928" s="15"/>
      <c r="L928" s="3"/>
      <c r="M928" s="6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</row>
    <row r="929" spans="1:37" ht="16.5" customHeight="1">
      <c r="A929" s="2"/>
      <c r="B929" s="11"/>
      <c r="C929" s="2"/>
      <c r="D929" s="3"/>
      <c r="E929" s="3"/>
      <c r="F929" s="2"/>
      <c r="G929" s="12"/>
      <c r="H929" s="12"/>
      <c r="I929" s="13"/>
      <c r="J929" s="13"/>
      <c r="K929" s="15"/>
      <c r="L929" s="3"/>
      <c r="M929" s="6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</row>
    <row r="930" spans="1:37" ht="16.5" customHeight="1">
      <c r="A930" s="2"/>
      <c r="B930" s="11"/>
      <c r="C930" s="2"/>
      <c r="D930" s="3"/>
      <c r="E930" s="3"/>
      <c r="F930" s="2"/>
      <c r="G930" s="12"/>
      <c r="H930" s="12"/>
      <c r="I930" s="13"/>
      <c r="J930" s="13"/>
      <c r="K930" s="15"/>
      <c r="L930" s="3"/>
      <c r="M930" s="6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</row>
    <row r="931" spans="1:37" ht="16.5" customHeight="1">
      <c r="A931" s="2"/>
      <c r="B931" s="11"/>
      <c r="C931" s="2"/>
      <c r="D931" s="3"/>
      <c r="E931" s="3"/>
      <c r="F931" s="2"/>
      <c r="G931" s="12"/>
      <c r="H931" s="12"/>
      <c r="I931" s="13"/>
      <c r="J931" s="13"/>
      <c r="K931" s="15"/>
      <c r="L931" s="3"/>
      <c r="M931" s="6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</row>
    <row r="932" spans="1:37" ht="16.5" customHeight="1">
      <c r="A932" s="2"/>
      <c r="B932" s="11"/>
      <c r="C932" s="2"/>
      <c r="D932" s="3"/>
      <c r="E932" s="3"/>
      <c r="F932" s="2"/>
      <c r="G932" s="12"/>
      <c r="H932" s="12"/>
      <c r="I932" s="13"/>
      <c r="J932" s="13"/>
      <c r="K932" s="15"/>
      <c r="L932" s="3"/>
      <c r="M932" s="6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</row>
    <row r="933" spans="1:37" ht="16.5" customHeight="1">
      <c r="A933" s="2"/>
      <c r="B933" s="11"/>
      <c r="C933" s="2"/>
      <c r="D933" s="3"/>
      <c r="E933" s="3"/>
      <c r="F933" s="2"/>
      <c r="G933" s="12"/>
      <c r="H933" s="12"/>
      <c r="I933" s="13"/>
      <c r="J933" s="13"/>
      <c r="K933" s="15"/>
      <c r="L933" s="3"/>
      <c r="M933" s="6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</row>
    <row r="934" spans="1:37" ht="16.5" customHeight="1">
      <c r="A934" s="2"/>
      <c r="B934" s="11"/>
      <c r="C934" s="2"/>
      <c r="D934" s="3"/>
      <c r="E934" s="3"/>
      <c r="F934" s="2"/>
      <c r="G934" s="12"/>
      <c r="H934" s="12"/>
      <c r="I934" s="13"/>
      <c r="J934" s="13"/>
      <c r="K934" s="15"/>
      <c r="L934" s="3"/>
      <c r="M934" s="6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</row>
    <row r="935" spans="1:37" ht="16.5" customHeight="1">
      <c r="A935" s="2"/>
      <c r="B935" s="11"/>
      <c r="C935" s="2"/>
      <c r="D935" s="3"/>
      <c r="E935" s="3"/>
      <c r="F935" s="2"/>
      <c r="G935" s="12"/>
      <c r="H935" s="12"/>
      <c r="I935" s="13"/>
      <c r="J935" s="13"/>
      <c r="K935" s="15"/>
      <c r="L935" s="3"/>
      <c r="M935" s="6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</row>
    <row r="936" spans="1:37" ht="16.5" customHeight="1">
      <c r="A936" s="2"/>
      <c r="B936" s="11"/>
      <c r="C936" s="2"/>
      <c r="D936" s="3"/>
      <c r="E936" s="3"/>
      <c r="F936" s="2"/>
      <c r="G936" s="12"/>
      <c r="H936" s="12"/>
      <c r="I936" s="13"/>
      <c r="J936" s="13"/>
      <c r="K936" s="15"/>
      <c r="L936" s="3"/>
      <c r="M936" s="6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</row>
    <row r="937" spans="1:37" ht="16.5" customHeight="1">
      <c r="A937" s="2"/>
      <c r="B937" s="11"/>
      <c r="C937" s="2"/>
      <c r="D937" s="3"/>
      <c r="E937" s="3"/>
      <c r="F937" s="2"/>
      <c r="G937" s="12"/>
      <c r="H937" s="12"/>
      <c r="I937" s="13"/>
      <c r="J937" s="13"/>
      <c r="K937" s="15"/>
      <c r="L937" s="3"/>
      <c r="M937" s="6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</row>
    <row r="938" spans="1:37" ht="16.5" customHeight="1">
      <c r="A938" s="2"/>
      <c r="B938" s="11"/>
      <c r="C938" s="2"/>
      <c r="D938" s="3"/>
      <c r="E938" s="3"/>
      <c r="F938" s="2"/>
      <c r="G938" s="12"/>
      <c r="H938" s="12"/>
      <c r="I938" s="13"/>
      <c r="J938" s="13"/>
      <c r="K938" s="15"/>
      <c r="L938" s="3"/>
      <c r="M938" s="6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</row>
    <row r="939" spans="1:37" ht="16.5" customHeight="1">
      <c r="A939" s="2"/>
      <c r="B939" s="11"/>
      <c r="C939" s="2"/>
      <c r="D939" s="3"/>
      <c r="E939" s="3"/>
      <c r="F939" s="2"/>
      <c r="G939" s="12"/>
      <c r="H939" s="12"/>
      <c r="I939" s="13"/>
      <c r="J939" s="13"/>
      <c r="K939" s="15"/>
      <c r="L939" s="3"/>
      <c r="M939" s="6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</row>
    <row r="940" spans="1:37" ht="16.5" customHeight="1">
      <c r="A940" s="2"/>
      <c r="B940" s="11"/>
      <c r="C940" s="2"/>
      <c r="D940" s="3"/>
      <c r="E940" s="3"/>
      <c r="F940" s="2"/>
      <c r="G940" s="12"/>
      <c r="H940" s="12"/>
      <c r="I940" s="13"/>
      <c r="J940" s="13"/>
      <c r="K940" s="15"/>
      <c r="L940" s="3"/>
      <c r="M940" s="6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</row>
    <row r="941" spans="1:37" ht="16.5" customHeight="1">
      <c r="A941" s="2"/>
      <c r="B941" s="11"/>
      <c r="C941" s="2"/>
      <c r="D941" s="3"/>
      <c r="E941" s="3"/>
      <c r="F941" s="2"/>
      <c r="G941" s="12"/>
      <c r="H941" s="12"/>
      <c r="I941" s="13"/>
      <c r="J941" s="13"/>
      <c r="K941" s="15"/>
      <c r="L941" s="3"/>
      <c r="M941" s="6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</row>
    <row r="942" spans="1:37" ht="16.5" customHeight="1">
      <c r="A942" s="2"/>
      <c r="B942" s="11"/>
      <c r="C942" s="2"/>
      <c r="D942" s="3"/>
      <c r="E942" s="3"/>
      <c r="F942" s="2"/>
      <c r="G942" s="12"/>
      <c r="H942" s="12"/>
      <c r="I942" s="13"/>
      <c r="J942" s="13"/>
      <c r="K942" s="15"/>
      <c r="L942" s="3"/>
      <c r="M942" s="6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</row>
    <row r="943" spans="1:37" ht="16.5" customHeight="1">
      <c r="A943" s="2"/>
      <c r="B943" s="11"/>
      <c r="C943" s="2"/>
      <c r="D943" s="3"/>
      <c r="E943" s="3"/>
      <c r="F943" s="2"/>
      <c r="G943" s="12"/>
      <c r="H943" s="12"/>
      <c r="I943" s="13"/>
      <c r="J943" s="13"/>
      <c r="K943" s="15"/>
      <c r="L943" s="3"/>
      <c r="M943" s="6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</row>
    <row r="944" spans="1:37" ht="16.5" customHeight="1">
      <c r="A944" s="2"/>
      <c r="B944" s="11"/>
      <c r="C944" s="2"/>
      <c r="D944" s="3"/>
      <c r="E944" s="3"/>
      <c r="F944" s="2"/>
      <c r="G944" s="12"/>
      <c r="H944" s="12"/>
      <c r="I944" s="13"/>
      <c r="J944" s="13"/>
      <c r="K944" s="15"/>
      <c r="L944" s="3"/>
      <c r="M944" s="6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</row>
    <row r="945" spans="1:37" ht="16.5" customHeight="1">
      <c r="A945" s="2"/>
      <c r="B945" s="11"/>
      <c r="C945" s="2"/>
      <c r="D945" s="3"/>
      <c r="E945" s="3"/>
      <c r="F945" s="2"/>
      <c r="G945" s="12"/>
      <c r="H945" s="12"/>
      <c r="I945" s="13"/>
      <c r="J945" s="13"/>
      <c r="K945" s="15"/>
      <c r="L945" s="3"/>
      <c r="M945" s="6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</row>
    <row r="946" spans="1:37" ht="16.5" customHeight="1">
      <c r="A946" s="2"/>
      <c r="B946" s="11"/>
      <c r="C946" s="2"/>
      <c r="D946" s="3"/>
      <c r="E946" s="3"/>
      <c r="F946" s="2"/>
      <c r="G946" s="12"/>
      <c r="H946" s="12"/>
      <c r="I946" s="13"/>
      <c r="J946" s="13"/>
      <c r="K946" s="15"/>
      <c r="L946" s="3"/>
      <c r="M946" s="6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</row>
    <row r="947" spans="1:37" ht="16.5" customHeight="1">
      <c r="A947" s="2"/>
      <c r="B947" s="11"/>
      <c r="C947" s="2"/>
      <c r="D947" s="3"/>
      <c r="E947" s="3"/>
      <c r="F947" s="2"/>
      <c r="G947" s="12"/>
      <c r="H947" s="12"/>
      <c r="I947" s="13"/>
      <c r="J947" s="13"/>
      <c r="K947" s="15"/>
      <c r="L947" s="3"/>
      <c r="M947" s="6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</row>
    <row r="948" spans="1:37" ht="16.5" customHeight="1">
      <c r="A948" s="2"/>
      <c r="B948" s="11"/>
      <c r="C948" s="2"/>
      <c r="D948" s="3"/>
      <c r="E948" s="3"/>
      <c r="F948" s="2"/>
      <c r="G948" s="12"/>
      <c r="H948" s="12"/>
      <c r="I948" s="13"/>
      <c r="J948" s="13"/>
      <c r="K948" s="15"/>
      <c r="L948" s="3"/>
      <c r="M948" s="6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</row>
    <row r="949" spans="1:37" ht="16.5" customHeight="1">
      <c r="A949" s="2"/>
      <c r="B949" s="11"/>
      <c r="C949" s="2"/>
      <c r="D949" s="3"/>
      <c r="E949" s="3"/>
      <c r="F949" s="2"/>
      <c r="G949" s="12"/>
      <c r="H949" s="12"/>
      <c r="I949" s="13"/>
      <c r="J949" s="13"/>
      <c r="K949" s="15"/>
      <c r="L949" s="3"/>
      <c r="M949" s="6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</row>
    <row r="950" spans="1:37" ht="16.5" customHeight="1">
      <c r="A950" s="2"/>
      <c r="B950" s="11"/>
      <c r="C950" s="2"/>
      <c r="D950" s="3"/>
      <c r="E950" s="3"/>
      <c r="F950" s="2"/>
      <c r="G950" s="12"/>
      <c r="H950" s="12"/>
      <c r="I950" s="13"/>
      <c r="J950" s="13"/>
      <c r="K950" s="15"/>
      <c r="L950" s="3"/>
      <c r="M950" s="6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</row>
    <row r="951" spans="1:37" ht="16.5" customHeight="1">
      <c r="A951" s="2"/>
      <c r="B951" s="11"/>
      <c r="C951" s="2"/>
      <c r="D951" s="3"/>
      <c r="E951" s="3"/>
      <c r="F951" s="2"/>
      <c r="G951" s="12"/>
      <c r="H951" s="12"/>
      <c r="I951" s="13"/>
      <c r="J951" s="13"/>
      <c r="K951" s="15"/>
      <c r="L951" s="3"/>
      <c r="M951" s="6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</row>
    <row r="952" spans="1:37" ht="16.5" customHeight="1">
      <c r="A952" s="2"/>
      <c r="B952" s="11"/>
      <c r="C952" s="2"/>
      <c r="D952" s="3"/>
      <c r="E952" s="3"/>
      <c r="F952" s="2"/>
      <c r="G952" s="12"/>
      <c r="H952" s="12"/>
      <c r="I952" s="13"/>
      <c r="J952" s="13"/>
      <c r="K952" s="15"/>
      <c r="L952" s="3"/>
      <c r="M952" s="6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</row>
    <row r="953" spans="1:37" ht="16.5" customHeight="1">
      <c r="A953" s="2"/>
      <c r="B953" s="11"/>
      <c r="C953" s="2"/>
      <c r="D953" s="3"/>
      <c r="E953" s="3"/>
      <c r="F953" s="2"/>
      <c r="G953" s="12"/>
      <c r="H953" s="12"/>
      <c r="I953" s="13"/>
      <c r="J953" s="13"/>
      <c r="K953" s="15"/>
      <c r="L953" s="3"/>
      <c r="M953" s="6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</row>
    <row r="954" spans="1:37" ht="16.5" customHeight="1">
      <c r="A954" s="2"/>
      <c r="B954" s="11"/>
      <c r="C954" s="2"/>
      <c r="D954" s="3"/>
      <c r="E954" s="3"/>
      <c r="F954" s="2"/>
      <c r="G954" s="12"/>
      <c r="H954" s="12"/>
      <c r="I954" s="13"/>
      <c r="J954" s="13"/>
      <c r="K954" s="15"/>
      <c r="L954" s="3"/>
      <c r="M954" s="6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</row>
    <row r="955" spans="1:37" ht="16.5" customHeight="1">
      <c r="A955" s="2"/>
      <c r="B955" s="11"/>
      <c r="C955" s="2"/>
      <c r="D955" s="3"/>
      <c r="E955" s="3"/>
      <c r="F955" s="2"/>
      <c r="G955" s="12"/>
      <c r="H955" s="12"/>
      <c r="I955" s="13"/>
      <c r="J955" s="13"/>
      <c r="K955" s="15"/>
      <c r="L955" s="3"/>
      <c r="M955" s="6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</row>
    <row r="956" spans="1:37" ht="16.5" customHeight="1">
      <c r="A956" s="2"/>
      <c r="B956" s="11"/>
      <c r="C956" s="2"/>
      <c r="D956" s="3"/>
      <c r="E956" s="3"/>
      <c r="F956" s="2"/>
      <c r="G956" s="12"/>
      <c r="H956" s="12"/>
      <c r="I956" s="13"/>
      <c r="J956" s="13"/>
      <c r="K956" s="15"/>
      <c r="L956" s="3"/>
      <c r="M956" s="6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</row>
    <row r="957" spans="1:37" ht="16.5" customHeight="1">
      <c r="A957" s="2"/>
      <c r="B957" s="11"/>
      <c r="C957" s="2"/>
      <c r="D957" s="3"/>
      <c r="E957" s="3"/>
      <c r="F957" s="2"/>
      <c r="G957" s="12"/>
      <c r="H957" s="12"/>
      <c r="I957" s="13"/>
      <c r="J957" s="13"/>
      <c r="K957" s="15"/>
      <c r="L957" s="3"/>
      <c r="M957" s="6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</row>
    <row r="958" spans="1:37" ht="16.5" customHeight="1">
      <c r="A958" s="2"/>
      <c r="B958" s="11"/>
      <c r="C958" s="2"/>
      <c r="D958" s="3"/>
      <c r="E958" s="3"/>
      <c r="F958" s="2"/>
      <c r="G958" s="12"/>
      <c r="H958" s="12"/>
      <c r="I958" s="13"/>
      <c r="J958" s="13"/>
      <c r="K958" s="15"/>
      <c r="L958" s="3"/>
      <c r="M958" s="6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</row>
    <row r="959" spans="1:37" ht="16.5" customHeight="1">
      <c r="A959" s="2"/>
      <c r="B959" s="11"/>
      <c r="C959" s="2"/>
      <c r="D959" s="3"/>
      <c r="E959" s="3"/>
      <c r="F959" s="2"/>
      <c r="G959" s="12"/>
      <c r="H959" s="12"/>
      <c r="I959" s="13"/>
      <c r="J959" s="13"/>
      <c r="K959" s="15"/>
      <c r="L959" s="3"/>
      <c r="M959" s="6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</row>
    <row r="960" spans="1:37" ht="16.5" customHeight="1">
      <c r="A960" s="2"/>
      <c r="B960" s="11"/>
      <c r="C960" s="2"/>
      <c r="D960" s="3"/>
      <c r="E960" s="3"/>
      <c r="F960" s="2"/>
      <c r="G960" s="12"/>
      <c r="H960" s="12"/>
      <c r="I960" s="13"/>
      <c r="J960" s="13"/>
      <c r="K960" s="15"/>
      <c r="L960" s="3"/>
      <c r="M960" s="6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</row>
    <row r="961" spans="1:37" ht="16.5" customHeight="1">
      <c r="A961" s="2"/>
      <c r="B961" s="11"/>
      <c r="C961" s="2"/>
      <c r="D961" s="3"/>
      <c r="E961" s="3"/>
      <c r="F961" s="2"/>
      <c r="G961" s="12"/>
      <c r="H961" s="12"/>
      <c r="I961" s="13"/>
      <c r="J961" s="13"/>
      <c r="K961" s="15"/>
      <c r="L961" s="3"/>
      <c r="M961" s="6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</row>
    <row r="962" spans="1:37" ht="16.5" customHeight="1">
      <c r="A962" s="2"/>
      <c r="B962" s="11"/>
      <c r="C962" s="2"/>
      <c r="D962" s="3"/>
      <c r="E962" s="3"/>
      <c r="F962" s="2"/>
      <c r="G962" s="12"/>
      <c r="H962" s="12"/>
      <c r="I962" s="13"/>
      <c r="J962" s="13"/>
      <c r="K962" s="15"/>
      <c r="L962" s="3"/>
      <c r="M962" s="6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</row>
    <row r="963" spans="1:37" ht="16.5" customHeight="1">
      <c r="A963" s="2"/>
      <c r="B963" s="11"/>
      <c r="C963" s="2"/>
      <c r="D963" s="3"/>
      <c r="E963" s="3"/>
      <c r="F963" s="2"/>
      <c r="G963" s="12"/>
      <c r="H963" s="12"/>
      <c r="I963" s="13"/>
      <c r="J963" s="13"/>
      <c r="K963" s="15"/>
      <c r="L963" s="3"/>
      <c r="M963" s="6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</row>
    <row r="964" spans="1:37" ht="16.5" customHeight="1">
      <c r="A964" s="2"/>
      <c r="B964" s="11"/>
      <c r="C964" s="2"/>
      <c r="D964" s="3"/>
      <c r="E964" s="3"/>
      <c r="F964" s="2"/>
      <c r="G964" s="12"/>
      <c r="H964" s="12"/>
      <c r="I964" s="13"/>
      <c r="J964" s="13"/>
      <c r="K964" s="15"/>
      <c r="L964" s="3"/>
      <c r="M964" s="6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</row>
    <row r="965" spans="1:37" ht="16.5" customHeight="1">
      <c r="A965" s="2"/>
      <c r="B965" s="11"/>
      <c r="C965" s="2"/>
      <c r="D965" s="3"/>
      <c r="E965" s="3"/>
      <c r="F965" s="2"/>
      <c r="G965" s="12"/>
      <c r="H965" s="12"/>
      <c r="I965" s="13"/>
      <c r="J965" s="13"/>
      <c r="K965" s="15"/>
      <c r="L965" s="3"/>
      <c r="M965" s="6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</row>
    <row r="966" spans="1:37" ht="16.5" customHeight="1">
      <c r="A966" s="2"/>
      <c r="B966" s="11"/>
      <c r="C966" s="2"/>
      <c r="D966" s="3"/>
      <c r="E966" s="3"/>
      <c r="F966" s="2"/>
      <c r="G966" s="12"/>
      <c r="H966" s="12"/>
      <c r="I966" s="13"/>
      <c r="J966" s="13"/>
      <c r="K966" s="15"/>
      <c r="L966" s="3"/>
      <c r="M966" s="6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</row>
    <row r="967" spans="1:37" ht="16.5" customHeight="1">
      <c r="A967" s="2"/>
      <c r="B967" s="11"/>
      <c r="C967" s="2"/>
      <c r="D967" s="3"/>
      <c r="E967" s="3"/>
      <c r="F967" s="2"/>
      <c r="G967" s="12"/>
      <c r="H967" s="12"/>
      <c r="I967" s="13"/>
      <c r="J967" s="13"/>
      <c r="K967" s="15"/>
      <c r="L967" s="3"/>
      <c r="M967" s="6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</row>
    <row r="968" spans="1:37" ht="16.5" customHeight="1">
      <c r="A968" s="2"/>
      <c r="B968" s="11"/>
      <c r="C968" s="2"/>
      <c r="D968" s="3"/>
      <c r="E968" s="3"/>
      <c r="F968" s="2"/>
      <c r="G968" s="12"/>
      <c r="H968" s="12"/>
      <c r="I968" s="13"/>
      <c r="J968" s="13"/>
      <c r="K968" s="15"/>
      <c r="L968" s="3"/>
      <c r="M968" s="6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</row>
    <row r="969" spans="1:37" ht="16.5" customHeight="1">
      <c r="A969" s="2"/>
      <c r="B969" s="11"/>
      <c r="C969" s="2"/>
      <c r="D969" s="3"/>
      <c r="E969" s="3"/>
      <c r="F969" s="2"/>
      <c r="G969" s="12"/>
      <c r="H969" s="12"/>
      <c r="I969" s="13"/>
      <c r="J969" s="13"/>
      <c r="K969" s="15"/>
      <c r="L969" s="3"/>
      <c r="M969" s="6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</row>
    <row r="970" spans="1:37" ht="16.5" customHeight="1">
      <c r="A970" s="2"/>
      <c r="B970" s="11"/>
      <c r="C970" s="2"/>
      <c r="D970" s="3"/>
      <c r="E970" s="3"/>
      <c r="F970" s="2"/>
      <c r="G970" s="12"/>
      <c r="H970" s="12"/>
      <c r="I970" s="13"/>
      <c r="J970" s="13"/>
      <c r="K970" s="15"/>
      <c r="L970" s="3"/>
      <c r="M970" s="6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</row>
    <row r="971" spans="1:37" ht="16.5" customHeight="1">
      <c r="A971" s="2"/>
      <c r="B971" s="11"/>
      <c r="C971" s="2"/>
      <c r="D971" s="3"/>
      <c r="E971" s="3"/>
      <c r="F971" s="2"/>
      <c r="G971" s="12"/>
      <c r="H971" s="12"/>
      <c r="I971" s="13"/>
      <c r="J971" s="13"/>
      <c r="K971" s="15"/>
      <c r="L971" s="3"/>
      <c r="M971" s="6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</row>
    <row r="972" spans="1:37" ht="16.5" customHeight="1">
      <c r="A972" s="2"/>
      <c r="B972" s="11"/>
      <c r="C972" s="2"/>
      <c r="D972" s="3"/>
      <c r="E972" s="3"/>
      <c r="F972" s="2"/>
      <c r="G972" s="12"/>
      <c r="H972" s="12"/>
      <c r="I972" s="13"/>
      <c r="J972" s="13"/>
      <c r="K972" s="15"/>
      <c r="L972" s="3"/>
      <c r="M972" s="6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</row>
    <row r="973" spans="1:37" ht="16.5" customHeight="1">
      <c r="A973" s="2"/>
      <c r="B973" s="11"/>
      <c r="C973" s="2"/>
      <c r="D973" s="3"/>
      <c r="E973" s="3"/>
      <c r="F973" s="2"/>
      <c r="G973" s="12"/>
      <c r="H973" s="12"/>
      <c r="I973" s="13"/>
      <c r="J973" s="13"/>
      <c r="K973" s="15"/>
      <c r="L973" s="3"/>
      <c r="M973" s="6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</row>
    <row r="974" spans="1:37" ht="16.5" customHeight="1">
      <c r="A974" s="2"/>
      <c r="B974" s="11"/>
      <c r="C974" s="2"/>
      <c r="D974" s="3"/>
      <c r="E974" s="3"/>
      <c r="F974" s="2"/>
      <c r="G974" s="12"/>
      <c r="H974" s="12"/>
      <c r="I974" s="13"/>
      <c r="J974" s="13"/>
      <c r="K974" s="15"/>
      <c r="L974" s="3"/>
      <c r="M974" s="6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</row>
    <row r="975" spans="1:37" ht="16.5" customHeight="1">
      <c r="A975" s="2"/>
      <c r="B975" s="11"/>
      <c r="C975" s="2"/>
      <c r="D975" s="3"/>
      <c r="E975" s="3"/>
      <c r="F975" s="2"/>
      <c r="G975" s="12"/>
      <c r="H975" s="12"/>
      <c r="I975" s="13"/>
      <c r="J975" s="13"/>
      <c r="K975" s="15"/>
      <c r="L975" s="3"/>
      <c r="M975" s="6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</row>
    <row r="976" spans="1:37" ht="16.5" customHeight="1">
      <c r="A976" s="2"/>
      <c r="B976" s="11"/>
      <c r="C976" s="2"/>
      <c r="D976" s="3"/>
      <c r="E976" s="3"/>
      <c r="F976" s="2"/>
      <c r="G976" s="12"/>
      <c r="H976" s="12"/>
      <c r="I976" s="13"/>
      <c r="J976" s="13"/>
      <c r="K976" s="15"/>
      <c r="L976" s="3"/>
      <c r="M976" s="6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</row>
    <row r="977" spans="1:37" ht="16.5" customHeight="1">
      <c r="A977" s="2"/>
      <c r="B977" s="11"/>
      <c r="C977" s="2"/>
      <c r="D977" s="3"/>
      <c r="E977" s="3"/>
      <c r="F977" s="2"/>
      <c r="G977" s="12"/>
      <c r="H977" s="12"/>
      <c r="I977" s="13"/>
      <c r="J977" s="13"/>
      <c r="K977" s="15"/>
      <c r="L977" s="3"/>
      <c r="M977" s="6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</row>
    <row r="978" spans="1:37" ht="16.5" customHeight="1">
      <c r="A978" s="2"/>
      <c r="B978" s="11"/>
      <c r="C978" s="2"/>
      <c r="D978" s="3"/>
      <c r="E978" s="3"/>
      <c r="F978" s="2"/>
      <c r="G978" s="12"/>
      <c r="H978" s="12"/>
      <c r="I978" s="13"/>
      <c r="J978" s="13"/>
      <c r="K978" s="15"/>
      <c r="L978" s="3"/>
      <c r="M978" s="6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</row>
    <row r="979" spans="1:37" ht="16.5" customHeight="1">
      <c r="A979" s="2"/>
      <c r="B979" s="11"/>
      <c r="C979" s="2"/>
      <c r="D979" s="3"/>
      <c r="E979" s="3"/>
      <c r="F979" s="2"/>
      <c r="G979" s="12"/>
      <c r="H979" s="12"/>
      <c r="I979" s="13"/>
      <c r="J979" s="13"/>
      <c r="K979" s="15"/>
      <c r="L979" s="3"/>
      <c r="M979" s="6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</row>
    <row r="980" spans="1:37" ht="16.5" customHeight="1">
      <c r="A980" s="2"/>
      <c r="B980" s="11"/>
      <c r="C980" s="2"/>
      <c r="D980" s="3"/>
      <c r="E980" s="3"/>
      <c r="F980" s="2"/>
      <c r="G980" s="12"/>
      <c r="H980" s="12"/>
      <c r="I980" s="13"/>
      <c r="J980" s="13"/>
      <c r="K980" s="15"/>
      <c r="L980" s="3"/>
      <c r="M980" s="6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</row>
    <row r="981" spans="1:37" ht="16.5" customHeight="1">
      <c r="A981" s="2"/>
      <c r="B981" s="11"/>
      <c r="C981" s="2"/>
      <c r="D981" s="3"/>
      <c r="E981" s="3"/>
      <c r="F981" s="2"/>
      <c r="G981" s="12"/>
      <c r="H981" s="12"/>
      <c r="I981" s="13"/>
      <c r="J981" s="13"/>
      <c r="K981" s="15"/>
      <c r="L981" s="3"/>
      <c r="M981" s="6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</row>
    <row r="982" spans="1:37" ht="16.5" customHeight="1">
      <c r="A982" s="2"/>
      <c r="B982" s="11"/>
      <c r="C982" s="2"/>
      <c r="D982" s="3"/>
      <c r="E982" s="3"/>
      <c r="F982" s="2"/>
      <c r="G982" s="12"/>
      <c r="H982" s="12"/>
      <c r="I982" s="13"/>
      <c r="J982" s="13"/>
      <c r="K982" s="15"/>
      <c r="L982" s="3"/>
      <c r="M982" s="6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</row>
    <row r="983" spans="1:37" ht="16.5" customHeight="1">
      <c r="A983" s="2"/>
      <c r="B983" s="11"/>
      <c r="C983" s="2"/>
      <c r="D983" s="3"/>
      <c r="E983" s="3"/>
      <c r="F983" s="2"/>
      <c r="G983" s="12"/>
      <c r="H983" s="12"/>
      <c r="I983" s="13"/>
      <c r="J983" s="13"/>
      <c r="K983" s="15"/>
      <c r="L983" s="3"/>
      <c r="M983" s="6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</row>
    <row r="984" spans="1:37" ht="16.5" customHeight="1">
      <c r="A984" s="2"/>
      <c r="B984" s="11"/>
      <c r="C984" s="2"/>
      <c r="D984" s="3"/>
      <c r="E984" s="3"/>
      <c r="F984" s="2"/>
      <c r="G984" s="12"/>
      <c r="H984" s="12"/>
      <c r="I984" s="13"/>
      <c r="J984" s="13"/>
      <c r="K984" s="15"/>
      <c r="L984" s="3"/>
      <c r="M984" s="6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</row>
    <row r="985" spans="1:37" ht="16.5" customHeight="1">
      <c r="A985" s="2"/>
      <c r="B985" s="11"/>
      <c r="C985" s="2"/>
      <c r="D985" s="3"/>
      <c r="E985" s="3"/>
      <c r="F985" s="2"/>
      <c r="G985" s="12"/>
      <c r="H985" s="12"/>
      <c r="I985" s="13"/>
      <c r="J985" s="13"/>
      <c r="K985" s="15"/>
      <c r="L985" s="3"/>
      <c r="M985" s="6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</row>
    <row r="986" spans="1:37" ht="16.5" customHeight="1">
      <c r="A986" s="2"/>
      <c r="B986" s="11"/>
      <c r="C986" s="2"/>
      <c r="D986" s="3"/>
      <c r="E986" s="3"/>
      <c r="F986" s="2"/>
      <c r="G986" s="12"/>
      <c r="H986" s="12"/>
      <c r="I986" s="13"/>
      <c r="J986" s="13"/>
      <c r="K986" s="15"/>
      <c r="L986" s="3"/>
      <c r="M986" s="6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</row>
    <row r="987" spans="1:37" ht="16.5" customHeight="1">
      <c r="A987" s="2"/>
      <c r="B987" s="11"/>
      <c r="C987" s="2"/>
      <c r="D987" s="3"/>
      <c r="E987" s="3"/>
      <c r="F987" s="2"/>
      <c r="G987" s="12"/>
      <c r="H987" s="12"/>
      <c r="I987" s="13"/>
      <c r="J987" s="13"/>
      <c r="K987" s="15"/>
      <c r="L987" s="3"/>
      <c r="M987" s="6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</row>
    <row r="988" spans="1:37" ht="16.5" customHeight="1">
      <c r="A988" s="2"/>
      <c r="B988" s="11"/>
      <c r="C988" s="2"/>
      <c r="D988" s="3"/>
      <c r="E988" s="3"/>
      <c r="F988" s="2"/>
      <c r="G988" s="12"/>
      <c r="H988" s="12"/>
      <c r="I988" s="13"/>
      <c r="J988" s="13"/>
      <c r="K988" s="15"/>
      <c r="L988" s="3"/>
      <c r="M988" s="6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</row>
    <row r="989" spans="1:37" ht="16.5" customHeight="1">
      <c r="A989" s="2"/>
      <c r="B989" s="11"/>
      <c r="C989" s="2"/>
      <c r="D989" s="3"/>
      <c r="E989" s="3"/>
      <c r="F989" s="2"/>
      <c r="G989" s="12"/>
      <c r="H989" s="12"/>
      <c r="I989" s="13"/>
      <c r="J989" s="13"/>
      <c r="K989" s="15"/>
      <c r="L989" s="3"/>
      <c r="M989" s="6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</row>
    <row r="990" spans="1:37" ht="16.5" customHeight="1">
      <c r="A990" s="2"/>
      <c r="B990" s="11"/>
      <c r="C990" s="2"/>
      <c r="D990" s="3"/>
      <c r="E990" s="3"/>
      <c r="F990" s="2"/>
      <c r="G990" s="12"/>
      <c r="H990" s="12"/>
      <c r="I990" s="13"/>
      <c r="J990" s="13"/>
      <c r="K990" s="15"/>
      <c r="L990" s="3"/>
      <c r="M990" s="6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</row>
    <row r="991" spans="1:37" ht="16.5" customHeight="1">
      <c r="A991" s="2"/>
      <c r="B991" s="11"/>
      <c r="C991" s="2"/>
      <c r="D991" s="3"/>
      <c r="E991" s="3"/>
      <c r="F991" s="2"/>
      <c r="G991" s="12"/>
      <c r="H991" s="12"/>
      <c r="I991" s="13"/>
      <c r="J991" s="13"/>
      <c r="K991" s="15"/>
      <c r="L991" s="3"/>
      <c r="M991" s="6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</row>
    <row r="992" spans="1:37" ht="16.5" customHeight="1">
      <c r="A992" s="2"/>
      <c r="B992" s="11"/>
      <c r="C992" s="2"/>
      <c r="D992" s="3"/>
      <c r="E992" s="3"/>
      <c r="F992" s="2"/>
      <c r="G992" s="12"/>
      <c r="H992" s="12"/>
      <c r="I992" s="13"/>
      <c r="J992" s="13"/>
      <c r="K992" s="15"/>
      <c r="L992" s="3"/>
      <c r="M992" s="6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</row>
    <row r="993" spans="1:37" ht="16.5" customHeight="1">
      <c r="A993" s="2"/>
      <c r="B993" s="11"/>
      <c r="C993" s="2"/>
      <c r="D993" s="3"/>
      <c r="E993" s="3"/>
      <c r="F993" s="2"/>
      <c r="G993" s="12"/>
      <c r="H993" s="12"/>
      <c r="I993" s="13"/>
      <c r="J993" s="13"/>
      <c r="K993" s="15"/>
      <c r="L993" s="3"/>
      <c r="M993" s="6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</row>
    <row r="994" spans="1:37" ht="16.5" customHeight="1">
      <c r="A994" s="2"/>
      <c r="B994" s="11"/>
      <c r="C994" s="2"/>
      <c r="D994" s="3"/>
      <c r="E994" s="3"/>
      <c r="F994" s="2"/>
      <c r="G994" s="12"/>
      <c r="H994" s="12"/>
      <c r="I994" s="13"/>
      <c r="J994" s="13"/>
      <c r="K994" s="15"/>
      <c r="L994" s="3"/>
      <c r="M994" s="6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</row>
    <row r="995" spans="1:37" ht="16.5" customHeight="1">
      <c r="A995" s="2"/>
      <c r="B995" s="11"/>
      <c r="C995" s="2"/>
      <c r="D995" s="3"/>
      <c r="E995" s="3"/>
      <c r="F995" s="2"/>
      <c r="G995" s="12"/>
      <c r="H995" s="12"/>
      <c r="I995" s="13"/>
      <c r="J995" s="13"/>
      <c r="K995" s="15"/>
      <c r="L995" s="3"/>
      <c r="M995" s="6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</row>
    <row r="996" spans="1:37" ht="16.5" customHeight="1">
      <c r="A996" s="2"/>
      <c r="B996" s="11"/>
      <c r="C996" s="2"/>
      <c r="D996" s="3"/>
      <c r="E996" s="3"/>
      <c r="F996" s="2"/>
      <c r="G996" s="12"/>
      <c r="H996" s="12"/>
      <c r="I996" s="13"/>
      <c r="J996" s="13"/>
      <c r="K996" s="15"/>
      <c r="L996" s="3"/>
      <c r="M996" s="6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</row>
    <row r="997" spans="1:37" ht="16.5" customHeight="1">
      <c r="A997" s="2"/>
      <c r="B997" s="11"/>
      <c r="C997" s="2"/>
      <c r="D997" s="3"/>
      <c r="E997" s="3"/>
      <c r="F997" s="2"/>
      <c r="G997" s="12"/>
      <c r="H997" s="12"/>
      <c r="I997" s="13"/>
      <c r="J997" s="13"/>
      <c r="K997" s="15"/>
      <c r="L997" s="3"/>
      <c r="M997" s="6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</row>
    <row r="998" spans="1:37" ht="16.5" customHeight="1">
      <c r="A998" s="2"/>
      <c r="B998" s="11"/>
      <c r="C998" s="2"/>
      <c r="D998" s="3"/>
      <c r="E998" s="3"/>
      <c r="F998" s="2"/>
      <c r="G998" s="12"/>
      <c r="H998" s="12"/>
      <c r="I998" s="13"/>
      <c r="J998" s="13"/>
      <c r="K998" s="15"/>
      <c r="L998" s="3"/>
      <c r="M998" s="6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</row>
    <row r="999" spans="1:37" ht="16.5" customHeight="1">
      <c r="A999" s="2"/>
      <c r="B999" s="11"/>
      <c r="C999" s="2"/>
      <c r="D999" s="3"/>
      <c r="E999" s="3"/>
      <c r="F999" s="2"/>
      <c r="G999" s="12"/>
      <c r="H999" s="12"/>
      <c r="I999" s="13"/>
      <c r="J999" s="13"/>
      <c r="K999" s="15"/>
      <c r="L999" s="3"/>
      <c r="M999" s="6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</row>
    <row r="1000" spans="1:37" ht="16.5" customHeight="1">
      <c r="A1000" s="2"/>
      <c r="B1000" s="11"/>
      <c r="C1000" s="2"/>
      <c r="D1000" s="3"/>
      <c r="E1000" s="3"/>
      <c r="F1000" s="2"/>
      <c r="G1000" s="12"/>
      <c r="H1000" s="12"/>
      <c r="I1000" s="13"/>
      <c r="J1000" s="13"/>
      <c r="K1000" s="15"/>
      <c r="L1000" s="3"/>
      <c r="M1000" s="6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</row>
    <row r="1001" spans="1:37" ht="16.5" customHeight="1">
      <c r="A1001" s="2"/>
      <c r="B1001" s="11"/>
      <c r="C1001" s="2"/>
      <c r="D1001" s="3"/>
      <c r="E1001" s="3"/>
      <c r="F1001" s="2"/>
      <c r="G1001" s="12"/>
      <c r="H1001" s="12"/>
      <c r="I1001" s="13"/>
      <c r="J1001" s="13"/>
      <c r="K1001" s="15"/>
      <c r="L1001" s="3"/>
      <c r="M1001" s="6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</row>
    <row r="1002" spans="1:37" ht="16.5" customHeight="1">
      <c r="A1002" s="2"/>
      <c r="B1002" s="11"/>
      <c r="C1002" s="2"/>
      <c r="D1002" s="3"/>
      <c r="E1002" s="3"/>
      <c r="F1002" s="2"/>
      <c r="G1002" s="12"/>
      <c r="H1002" s="12"/>
      <c r="I1002" s="13"/>
      <c r="J1002" s="13"/>
      <c r="K1002" s="15"/>
      <c r="L1002" s="3"/>
      <c r="M1002" s="6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</row>
    <row r="1003" spans="1:37" ht="16.5" customHeight="1">
      <c r="A1003" s="2"/>
      <c r="B1003" s="11"/>
      <c r="C1003" s="2"/>
      <c r="D1003" s="3"/>
      <c r="E1003" s="3"/>
      <c r="F1003" s="2"/>
      <c r="G1003" s="12"/>
      <c r="H1003" s="12"/>
      <c r="I1003" s="13"/>
      <c r="J1003" s="13"/>
      <c r="K1003" s="15"/>
      <c r="L1003" s="3"/>
      <c r="M1003" s="6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</row>
    <row r="1004" spans="1:37" ht="16.5" customHeight="1">
      <c r="A1004" s="2"/>
      <c r="B1004" s="11"/>
      <c r="C1004" s="2"/>
      <c r="D1004" s="3"/>
      <c r="E1004" s="3"/>
      <c r="F1004" s="2"/>
      <c r="G1004" s="12"/>
      <c r="H1004" s="12"/>
      <c r="I1004" s="13"/>
      <c r="J1004" s="13"/>
      <c r="K1004" s="15"/>
      <c r="L1004" s="3"/>
      <c r="M1004" s="6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</row>
    <row r="1005" spans="1:37" ht="15" customHeight="1">
      <c r="A1005" s="2"/>
      <c r="B1005" s="11"/>
      <c r="C1005" s="2"/>
      <c r="D1005" s="3"/>
      <c r="E1005" s="3"/>
      <c r="F1005" s="2"/>
      <c r="G1005" s="12"/>
      <c r="H1005" s="12"/>
      <c r="I1005" s="13"/>
      <c r="J1005" s="13"/>
      <c r="K1005" s="15"/>
      <c r="L1005" s="3"/>
      <c r="M1005" s="6"/>
      <c r="N1005" s="2"/>
      <c r="O1005" s="2"/>
      <c r="P1005" s="2"/>
    </row>
    <row r="1006" spans="1:37" ht="15" customHeight="1">
      <c r="A1006" s="2"/>
      <c r="B1006" s="11"/>
      <c r="C1006" s="2"/>
      <c r="D1006" s="3"/>
      <c r="E1006" s="3"/>
      <c r="F1006" s="2"/>
      <c r="G1006" s="12"/>
      <c r="H1006" s="12"/>
      <c r="I1006" s="13"/>
      <c r="J1006" s="13"/>
      <c r="K1006" s="15"/>
      <c r="L1006" s="3"/>
      <c r="M1006" s="6"/>
      <c r="N1006" s="2"/>
      <c r="O1006" s="2"/>
      <c r="P1006" s="2"/>
    </row>
  </sheetData>
  <mergeCells count="12">
    <mergeCell ref="H5:J5"/>
    <mergeCell ref="H6:J6"/>
    <mergeCell ref="A4:E4"/>
    <mergeCell ref="C6:G6"/>
    <mergeCell ref="C7:G7"/>
    <mergeCell ref="H7:J7"/>
    <mergeCell ref="G2:K2"/>
    <mergeCell ref="G1:K1"/>
    <mergeCell ref="A2:E2"/>
    <mergeCell ref="A3:E3"/>
    <mergeCell ref="G3:K3"/>
    <mergeCell ref="A1:E1"/>
  </mergeCells>
  <pageMargins left="0.19685039370078741" right="0.19685039370078741" top="0.35433070866141736" bottom="0.35433070866141736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AW1000"/>
  <sheetViews>
    <sheetView showGridLines="0" tabSelected="1" zoomScale="74" zoomScaleNormal="145" workbookViewId="0">
      <selection activeCell="Q17" sqref="Q17"/>
    </sheetView>
  </sheetViews>
  <sheetFormatPr defaultColWidth="11.19921875" defaultRowHeight="15" customHeight="1"/>
  <cols>
    <col min="1" max="1" width="3.69921875" customWidth="1"/>
    <col min="2" max="2" width="12" customWidth="1"/>
    <col min="3" max="3" width="8.19921875" customWidth="1"/>
    <col min="4" max="6" width="7.69921875" customWidth="1"/>
    <col min="7" max="7" width="10.09765625" customWidth="1"/>
    <col min="8" max="8" width="10.19921875" customWidth="1"/>
    <col min="9" max="9" width="11.8984375" customWidth="1"/>
    <col min="10" max="10" width="12.19921875" customWidth="1"/>
    <col min="11" max="11" width="5.19921875" customWidth="1"/>
    <col min="12" max="12" width="1.69921875" customWidth="1"/>
    <col min="13" max="13" width="1.69921875" style="231" customWidth="1"/>
    <col min="14" max="14" width="7.09765625" customWidth="1"/>
    <col min="15" max="15" width="17" bestFit="1" customWidth="1"/>
    <col min="16" max="16" width="10" bestFit="1" customWidth="1"/>
    <col min="17" max="17" width="10" style="602" customWidth="1"/>
    <col min="18" max="18" width="8.5" style="595" customWidth="1"/>
    <col min="19" max="31" width="8" style="299" customWidth="1"/>
    <col min="32" max="34" width="12.8984375" style="299" customWidth="1"/>
    <col min="35" max="37" width="14.3984375" customWidth="1"/>
    <col min="38" max="43" width="1.8984375" customWidth="1"/>
    <col min="44" max="44" width="4.19921875" customWidth="1"/>
    <col min="45" max="45" width="4.59765625" customWidth="1"/>
    <col min="46" max="46" width="4.3984375" customWidth="1"/>
    <col min="47" max="49" width="2.8984375" customWidth="1"/>
  </cols>
  <sheetData>
    <row r="1" spans="1:49" ht="21" customHeight="1">
      <c r="A1" s="912" t="s">
        <v>0</v>
      </c>
      <c r="B1" s="903"/>
      <c r="C1" s="903"/>
      <c r="D1" s="903"/>
      <c r="E1" s="903"/>
      <c r="F1" s="903"/>
      <c r="G1" s="240"/>
      <c r="H1" s="909" t="s">
        <v>2</v>
      </c>
      <c r="I1" s="903"/>
      <c r="J1" s="903"/>
      <c r="K1" s="903"/>
      <c r="L1" s="903"/>
      <c r="N1" s="1"/>
      <c r="O1" s="901">
        <f>(O5+1)/2</f>
        <v>10</v>
      </c>
      <c r="P1" s="901"/>
      <c r="Q1" s="597"/>
      <c r="R1" s="596"/>
      <c r="S1" s="596" t="str">
        <f ca="1">VLOOKUP($O$5,INDIRECT(DATA!$A$4),3,0)</f>
        <v>A10</v>
      </c>
      <c r="T1" s="50" t="str">
        <f ca="1">VLOOKUP($O$5,INDIRECT(DATA!$A$4),2,0)</f>
        <v>Mai Ánh Điệp</v>
      </c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14"/>
      <c r="AG1" s="14"/>
      <c r="AH1" s="14"/>
      <c r="AI1" s="9"/>
      <c r="AJ1" s="9" t="s">
        <v>14</v>
      </c>
      <c r="AK1" s="16">
        <f ca="1">J13</f>
        <v>2507000</v>
      </c>
      <c r="AL1" s="17"/>
      <c r="AM1" s="18"/>
      <c r="AN1" s="19"/>
      <c r="AO1" s="18"/>
      <c r="AP1" s="20"/>
      <c r="AQ1" s="20"/>
      <c r="AR1" s="20"/>
      <c r="AS1" s="20"/>
      <c r="AT1" s="20"/>
      <c r="AU1" s="20"/>
      <c r="AV1" s="20"/>
      <c r="AW1" s="20"/>
    </row>
    <row r="2" spans="1:49" ht="17.25" customHeight="1">
      <c r="A2" s="911" t="s">
        <v>6</v>
      </c>
      <c r="B2" s="903"/>
      <c r="C2" s="903"/>
      <c r="D2" s="903"/>
      <c r="E2" s="903"/>
      <c r="F2" s="903"/>
      <c r="G2" s="241"/>
      <c r="H2" s="909" t="s">
        <v>7</v>
      </c>
      <c r="I2" s="903"/>
      <c r="J2" s="903"/>
      <c r="K2" s="903"/>
      <c r="L2" s="903"/>
      <c r="N2" s="1"/>
      <c r="O2" s="901"/>
      <c r="P2" s="901"/>
      <c r="Q2" s="597"/>
      <c r="R2" s="605"/>
      <c r="S2" s="605">
        <v>0</v>
      </c>
      <c r="T2" s="605">
        <v>1</v>
      </c>
      <c r="U2" s="605">
        <v>2</v>
      </c>
      <c r="V2" s="605">
        <v>3</v>
      </c>
      <c r="W2" s="605">
        <v>4</v>
      </c>
      <c r="X2" s="605">
        <v>5</v>
      </c>
      <c r="Y2" s="605">
        <v>6</v>
      </c>
      <c r="Z2" s="605">
        <v>7</v>
      </c>
      <c r="AA2" s="605">
        <v>8</v>
      </c>
      <c r="AB2" s="605">
        <v>9</v>
      </c>
      <c r="AC2" s="605">
        <v>10</v>
      </c>
      <c r="AD2" s="605">
        <v>11</v>
      </c>
      <c r="AE2" s="605">
        <v>12</v>
      </c>
      <c r="AF2" s="300"/>
      <c r="AG2" s="300"/>
      <c r="AH2" s="300"/>
      <c r="AI2" s="9"/>
      <c r="AJ2" s="9" t="s">
        <v>19</v>
      </c>
      <c r="AK2" s="23" t="str">
        <f ca="1">AK13</f>
        <v>Hai triệu năm trăm lẻ bảy ngàn</v>
      </c>
      <c r="AL2" s="17"/>
      <c r="AM2" s="18"/>
      <c r="AN2" s="19"/>
      <c r="AO2" s="18"/>
      <c r="AP2" s="20"/>
      <c r="AQ2" s="20"/>
      <c r="AR2" s="20"/>
      <c r="AS2" s="20"/>
      <c r="AT2" s="20"/>
      <c r="AU2" s="20"/>
      <c r="AV2" s="20"/>
      <c r="AW2" s="20"/>
    </row>
    <row r="3" spans="1:49" ht="17.25" customHeight="1">
      <c r="A3" s="911" t="s">
        <v>9</v>
      </c>
      <c r="B3" s="903"/>
      <c r="C3" s="903"/>
      <c r="D3" s="903"/>
      <c r="E3" s="903"/>
      <c r="F3" s="903"/>
      <c r="G3" s="242"/>
      <c r="H3" s="910" t="s">
        <v>10</v>
      </c>
      <c r="I3" s="903"/>
      <c r="J3" s="903"/>
      <c r="K3" s="903"/>
      <c r="L3" s="903"/>
      <c r="N3" s="25"/>
      <c r="O3" s="901"/>
      <c r="P3" s="901"/>
      <c r="Q3" s="597"/>
      <c r="R3" s="606" t="s">
        <v>128</v>
      </c>
      <c r="S3" s="607">
        <f ca="1">VLOOKUP($O$5,INDIRECT(DATA!$A$4),5+S2,0)</f>
        <v>13621</v>
      </c>
      <c r="T3" s="607">
        <f ca="1">VLOOKUP($O$5,INDIRECT(DATA!$A$4),5+T2,0)</f>
        <v>13783</v>
      </c>
      <c r="U3" s="607">
        <f ca="1">VLOOKUP($O$5,INDIRECT(DATA!$A$4),5+U2,0)</f>
        <v>13887</v>
      </c>
      <c r="V3" s="607">
        <f ca="1">VLOOKUP($O$5,INDIRECT(DATA!$A$4),5+V2,0)</f>
        <v>0</v>
      </c>
      <c r="W3" s="607">
        <f ca="1">VLOOKUP($O$5,INDIRECT(DATA!$A$4),5+W2,0)</f>
        <v>0</v>
      </c>
      <c r="X3" s="607">
        <f ca="1">VLOOKUP($O$5,INDIRECT(DATA!$A$4),5+X2,0)</f>
        <v>0</v>
      </c>
      <c r="Y3" s="607">
        <f ca="1">VLOOKUP($O$5,INDIRECT(DATA!$A$4),5+Y2,0)</f>
        <v>0</v>
      </c>
      <c r="Z3" s="607">
        <f ca="1">VLOOKUP($O$5,INDIRECT(DATA!$A$4),5+Z2,0)</f>
        <v>0</v>
      </c>
      <c r="AA3" s="607">
        <f ca="1">VLOOKUP($O$5,INDIRECT(DATA!$A$4),5+AA2,0)</f>
        <v>0</v>
      </c>
      <c r="AB3" s="607">
        <f ca="1">VLOOKUP($O$5,INDIRECT(DATA!$A$4),5+AB2,0)</f>
        <v>0</v>
      </c>
      <c r="AC3" s="607">
        <f ca="1">VLOOKUP($O$5,INDIRECT(DATA!$A$4),5+AC2,0)</f>
        <v>0</v>
      </c>
      <c r="AD3" s="607">
        <f ca="1">VLOOKUP($O$5,INDIRECT(DATA!$A$4),5+AD2,0)</f>
        <v>0</v>
      </c>
      <c r="AE3" s="607">
        <f ca="1">VLOOKUP($O$5,INDIRECT(DATA!$A$4),5+AE2,0)</f>
        <v>0</v>
      </c>
      <c r="AF3" s="9"/>
      <c r="AG3" s="9"/>
      <c r="AH3" s="9"/>
      <c r="AI3" s="9"/>
      <c r="AJ3" s="9" t="s">
        <v>24</v>
      </c>
      <c r="AK3" s="29" t="str">
        <f ca="1">AK13&amp;" đồng./."</f>
        <v>Hai triệu năm trăm lẻ bảy ngàn đồng./.</v>
      </c>
      <c r="AL3" s="17"/>
      <c r="AM3" s="18"/>
      <c r="AN3" s="19"/>
      <c r="AO3" s="18"/>
      <c r="AP3" s="20"/>
      <c r="AQ3" s="20"/>
      <c r="AR3" s="20"/>
      <c r="AS3" s="20"/>
      <c r="AT3" s="20"/>
      <c r="AU3" s="20"/>
      <c r="AV3" s="20"/>
      <c r="AW3" s="20"/>
    </row>
    <row r="4" spans="1:49" ht="17.25" customHeight="1">
      <c r="A4" s="913" t="s">
        <v>34</v>
      </c>
      <c r="B4" s="903"/>
      <c r="C4" s="903"/>
      <c r="D4" s="903"/>
      <c r="E4" s="903"/>
      <c r="F4" s="903"/>
      <c r="G4" s="243"/>
      <c r="H4" s="243"/>
      <c r="I4" s="243"/>
      <c r="J4" s="243"/>
      <c r="K4" s="243"/>
      <c r="L4" s="244"/>
      <c r="M4" s="33"/>
      <c r="N4" s="33"/>
      <c r="O4" s="901"/>
      <c r="P4" s="901"/>
      <c r="Q4" s="597"/>
      <c r="R4" s="606" t="s">
        <v>139</v>
      </c>
      <c r="S4" s="607">
        <f ca="1">VLOOKUP($P$5,INDIRECT(DATA!$A$4),5,0)</f>
        <v>1247</v>
      </c>
      <c r="T4" s="607">
        <f ca="1">VLOOKUP($P$5,INDIRECT(DATA!$A$4),6,0)</f>
        <v>1267</v>
      </c>
      <c r="U4" s="607">
        <f ca="1">VLOOKUP($P$5,INDIRECT(DATA!$A$4),7,0)</f>
        <v>1286</v>
      </c>
      <c r="V4" s="607">
        <f ca="1">VLOOKUP($P$5,INDIRECT(DATA!$A$4),8,0)</f>
        <v>0</v>
      </c>
      <c r="W4" s="607">
        <f ca="1">VLOOKUP($P$5,INDIRECT(DATA!$A$4),9,0)</f>
        <v>0</v>
      </c>
      <c r="X4" s="607">
        <f ca="1">VLOOKUP($P$5,INDIRECT(DATA!$A$4),10,0)</f>
        <v>0</v>
      </c>
      <c r="Y4" s="607">
        <f ca="1">VLOOKUP($P$5,INDIRECT(DATA!$A$4),11,0)</f>
        <v>0</v>
      </c>
      <c r="Z4" s="607">
        <f ca="1">VLOOKUP($P$5,INDIRECT(DATA!$A$4),12,0)</f>
        <v>0</v>
      </c>
      <c r="AA4" s="607">
        <f ca="1">VLOOKUP($P$5,INDIRECT(DATA!$A$4),13,0)</f>
        <v>0</v>
      </c>
      <c r="AB4" s="607">
        <f ca="1">VLOOKUP($P$5,INDIRECT(DATA!$A$4),14,0)</f>
        <v>0</v>
      </c>
      <c r="AC4" s="607">
        <f ca="1">VLOOKUP($P$5,INDIRECT(DATA!$A$4),15,0)</f>
        <v>0</v>
      </c>
      <c r="AD4" s="607">
        <f ca="1">VLOOKUP($P$5,INDIRECT(DATA!$A$4),16,0)</f>
        <v>0</v>
      </c>
      <c r="AE4" s="607">
        <f ca="1">VLOOKUP($P$5,INDIRECT(DATA!$A$4),17,0)</f>
        <v>0</v>
      </c>
      <c r="AF4" s="9"/>
      <c r="AG4" s="9"/>
      <c r="AH4" s="9"/>
      <c r="AI4" s="9"/>
      <c r="AJ4" s="20"/>
      <c r="AK4" s="20"/>
      <c r="AL4" s="17"/>
      <c r="AM4" s="18"/>
      <c r="AN4" s="19"/>
      <c r="AO4" s="18"/>
      <c r="AP4" s="20"/>
      <c r="AQ4" s="20"/>
      <c r="AR4" s="20"/>
      <c r="AS4" s="20"/>
      <c r="AT4" s="20"/>
      <c r="AU4" s="20"/>
      <c r="AV4" s="20"/>
      <c r="AW4" s="20"/>
    </row>
    <row r="5" spans="1:49" ht="17.25" customHeight="1" thickBot="1">
      <c r="A5" s="245"/>
      <c r="B5" s="245"/>
      <c r="C5" s="245"/>
      <c r="D5" s="245"/>
      <c r="E5" s="245"/>
      <c r="F5" s="245"/>
      <c r="G5" s="243"/>
      <c r="H5" s="243"/>
      <c r="I5" s="243"/>
      <c r="J5" s="243"/>
      <c r="K5" s="243"/>
      <c r="L5" s="244"/>
      <c r="M5" s="33"/>
      <c r="N5" s="239" t="str">
        <f ca="1">VLOOKUP($O$5,INDIRECT(DATA!$A$4),3,0)</f>
        <v>A10</v>
      </c>
      <c r="O5" s="238">
        <v>19</v>
      </c>
      <c r="P5" s="295">
        <f>O5+1</f>
        <v>20</v>
      </c>
      <c r="Q5" s="598"/>
      <c r="R5" s="606" t="s">
        <v>923</v>
      </c>
      <c r="S5" s="304"/>
      <c r="T5" s="607">
        <f ca="1">VLOOKUP($O$1,INDIRECT(DATA!$A$4),76+T2,0)</f>
        <v>162</v>
      </c>
      <c r="U5" s="607">
        <f ca="1">VLOOKUP($O$1,INDIRECT(DATA!$A$4),76+U2,0)</f>
        <v>104</v>
      </c>
      <c r="V5" s="607">
        <f ca="1">VLOOKUP($O$1,INDIRECT(DATA!$A$4),76+V2,0)</f>
        <v>0</v>
      </c>
      <c r="W5" s="607">
        <f ca="1">VLOOKUP($O$1,INDIRECT(DATA!$A$4),76+W2,0)</f>
        <v>0</v>
      </c>
      <c r="X5" s="607">
        <f ca="1">VLOOKUP($O$1,INDIRECT(DATA!$A$4),76+X2,0)</f>
        <v>0</v>
      </c>
      <c r="Y5" s="607">
        <f ca="1">VLOOKUP($O$1,INDIRECT(DATA!$A$4),76+Y2,0)</f>
        <v>0</v>
      </c>
      <c r="Z5" s="607">
        <f ca="1">VLOOKUP($O$1,INDIRECT(DATA!$A$4),76+Z2,0)</f>
        <v>0</v>
      </c>
      <c r="AA5" s="607">
        <f ca="1">VLOOKUP($O$1,INDIRECT(DATA!$A$4),76+AA2,0)</f>
        <v>0</v>
      </c>
      <c r="AB5" s="607">
        <f ca="1">VLOOKUP($O$1,INDIRECT(DATA!$A$4),76+AB2,0)</f>
        <v>0</v>
      </c>
      <c r="AC5" s="607">
        <f ca="1">VLOOKUP($O$1,INDIRECT(DATA!$A$4),76+AC2,0)</f>
        <v>0</v>
      </c>
      <c r="AD5" s="607">
        <f ca="1">VLOOKUP($O$1,INDIRECT(DATA!$A$4),76+AD2,0)</f>
        <v>0</v>
      </c>
      <c r="AE5" s="607">
        <f ca="1">VLOOKUP($O$1,INDIRECT(DATA!$A$4),76+AE2,0)</f>
        <v>0</v>
      </c>
      <c r="AF5" s="9"/>
      <c r="AG5" s="9"/>
      <c r="AH5" s="9"/>
      <c r="AI5" s="9"/>
      <c r="AJ5" s="20"/>
      <c r="AK5" s="20"/>
      <c r="AL5" s="17"/>
      <c r="AM5" s="18"/>
      <c r="AN5" s="19"/>
      <c r="AO5" s="18"/>
      <c r="AP5" s="20"/>
      <c r="AQ5" s="20"/>
      <c r="AR5" s="20"/>
      <c r="AS5" s="20"/>
      <c r="AT5" s="20"/>
      <c r="AU5" s="20"/>
      <c r="AV5" s="20"/>
      <c r="AW5" s="20"/>
    </row>
    <row r="6" spans="1:49" ht="21" customHeight="1" thickBot="1">
      <c r="A6" s="246"/>
      <c r="B6" s="902" t="s">
        <v>54</v>
      </c>
      <c r="C6" s="903"/>
      <c r="D6" s="903"/>
      <c r="E6" s="903"/>
      <c r="F6" s="903"/>
      <c r="G6" s="903"/>
      <c r="H6" s="903"/>
      <c r="I6" s="247" t="s">
        <v>56</v>
      </c>
      <c r="J6" s="248" t="str">
        <f ca="1">VLOOKUP($O$5,INDIRECT(DATA!$A$4),24,0)</f>
        <v>01 Tây</v>
      </c>
      <c r="K6" s="243"/>
      <c r="L6" s="249"/>
      <c r="M6" s="41"/>
      <c r="N6" s="41"/>
      <c r="O6" s="296" t="s">
        <v>767</v>
      </c>
      <c r="P6" s="9">
        <v>57</v>
      </c>
      <c r="Q6" s="599"/>
      <c r="R6" s="606" t="s">
        <v>924</v>
      </c>
      <c r="S6" s="607"/>
      <c r="T6" s="607">
        <f ca="1">VLOOKUP($O$1,INDIRECT(DATA!$A$4),89+T2,0)</f>
        <v>20</v>
      </c>
      <c r="U6" s="607">
        <f ca="1">VLOOKUP($O$1,INDIRECT(DATA!$A$4),89+U2,0)</f>
        <v>19</v>
      </c>
      <c r="V6" s="607">
        <f ca="1">VLOOKUP($O$1,INDIRECT(DATA!$A$4),89+V2,0)</f>
        <v>0</v>
      </c>
      <c r="W6" s="607">
        <f ca="1">VLOOKUP($O$1,INDIRECT(DATA!$A$4),89+W2,0)</f>
        <v>0</v>
      </c>
      <c r="X6" s="607">
        <f ca="1">VLOOKUP($O$1,INDIRECT(DATA!$A$4),89+X2,0)</f>
        <v>0</v>
      </c>
      <c r="Y6" s="607">
        <f ca="1">VLOOKUP($O$1,INDIRECT(DATA!$A$4),89+Y2,0)</f>
        <v>0</v>
      </c>
      <c r="Z6" s="607">
        <f ca="1">VLOOKUP($O$1,INDIRECT(DATA!$A$4),89+Z2,0)</f>
        <v>0</v>
      </c>
      <c r="AA6" s="607">
        <f ca="1">VLOOKUP($O$1,INDIRECT(DATA!$A$4),89+AA2,0)</f>
        <v>0</v>
      </c>
      <c r="AB6" s="607">
        <f ca="1">VLOOKUP($O$1,INDIRECT(DATA!$A$4),89+AB2,0)</f>
        <v>0</v>
      </c>
      <c r="AC6" s="607">
        <f ca="1">VLOOKUP($O$1,INDIRECT(DATA!$A$4),89+AC2,0)</f>
        <v>0</v>
      </c>
      <c r="AD6" s="607">
        <f ca="1">VLOOKUP($O$1,INDIRECT(DATA!$A$4),89+AD2,0)</f>
        <v>0</v>
      </c>
      <c r="AE6" s="607">
        <f ca="1">VLOOKUP($O$1,INDIRECT(DATA!$A$4),89+AE2,0)</f>
        <v>0</v>
      </c>
      <c r="AF6" s="9"/>
      <c r="AG6" s="9"/>
      <c r="AH6" s="9"/>
      <c r="AI6" s="9"/>
      <c r="AJ6" s="20"/>
      <c r="AK6" s="20"/>
      <c r="AL6" s="17"/>
      <c r="AM6" s="18"/>
      <c r="AN6" s="19"/>
      <c r="AO6" s="18"/>
      <c r="AP6" s="20"/>
      <c r="AQ6" s="20"/>
      <c r="AR6" s="20"/>
      <c r="AS6" s="20"/>
      <c r="AT6" s="20"/>
      <c r="AU6" s="20"/>
      <c r="AV6" s="20"/>
      <c r="AW6" s="20"/>
    </row>
    <row r="7" spans="1:49" ht="17.25" customHeight="1">
      <c r="A7" s="246"/>
      <c r="B7" s="904" t="str">
        <f ca="1">"Phước Kiển, ngày "&amp;DAY(TODAY())&amp;" tháng "&amp;MONTH(TODAY())&amp;" năm "&amp;YEAR(TODAY())</f>
        <v>Phước Kiển, ngày 23 tháng 3 năm 2022</v>
      </c>
      <c r="C7" s="903"/>
      <c r="D7" s="903"/>
      <c r="E7" s="903"/>
      <c r="F7" s="903"/>
      <c r="G7" s="903"/>
      <c r="H7" s="903"/>
      <c r="I7" s="250" t="s">
        <v>66</v>
      </c>
      <c r="J7" s="248">
        <f ca="1">VLOOKUP($O$5,INDIRECT(DATA!$A$4),25,0)*1000</f>
        <v>1000000</v>
      </c>
      <c r="K7" s="243"/>
      <c r="L7" s="250"/>
      <c r="M7" s="42"/>
      <c r="N7" s="41"/>
      <c r="O7" s="297"/>
      <c r="P7" s="9"/>
      <c r="Q7" s="599"/>
      <c r="R7" s="606" t="s">
        <v>925</v>
      </c>
      <c r="S7" s="607">
        <f ca="1">VLOOKUP($O$1,INDIRECT(DATA!$A$4),35+S2,0)/1000</f>
        <v>2344</v>
      </c>
      <c r="T7" s="607">
        <f ca="1">VLOOKUP($O$1,INDIRECT(DATA!$A$4),35+T2,0)/1000</f>
        <v>2601</v>
      </c>
      <c r="U7" s="607">
        <f ca="1">VLOOKUP($O$1,INDIRECT(DATA!$A$4),35+U2,0)/1000</f>
        <v>2507</v>
      </c>
      <c r="V7" s="607">
        <f ca="1">VLOOKUP($O$1,INDIRECT(DATA!$A$4),35+V2,0)/1000</f>
        <v>0</v>
      </c>
      <c r="W7" s="607">
        <f ca="1">VLOOKUP($O$1,INDIRECT(DATA!$A$4),35+W2,0)/1000</f>
        <v>0</v>
      </c>
      <c r="X7" s="607">
        <f ca="1">VLOOKUP($O$1,INDIRECT(DATA!$A$4),35+X2,0)/1000</f>
        <v>0</v>
      </c>
      <c r="Y7" s="607">
        <f ca="1">VLOOKUP($O$1,INDIRECT(DATA!$A$4),35+Y2,0)/1000</f>
        <v>0</v>
      </c>
      <c r="Z7" s="607">
        <f ca="1">VLOOKUP($O$1,INDIRECT(DATA!$A$4),35+Z2,0)/1000</f>
        <v>0</v>
      </c>
      <c r="AA7" s="607">
        <f ca="1">VLOOKUP($O$1,INDIRECT(DATA!$A$4),35+AA2,0)/1000</f>
        <v>0</v>
      </c>
      <c r="AB7" s="607">
        <f ca="1">VLOOKUP($O$1,INDIRECT(DATA!$A$4),35+AB2,0)/1000</f>
        <v>0</v>
      </c>
      <c r="AC7" s="607">
        <f ca="1">VLOOKUP($O$1,INDIRECT(DATA!$A$4),35+AC2,0)/1000</f>
        <v>0</v>
      </c>
      <c r="AD7" s="607">
        <f ca="1">VLOOKUP($O$1,INDIRECT(DATA!$A$4),35+AD2,0)/1000</f>
        <v>0</v>
      </c>
      <c r="AE7" s="607">
        <f ca="1">VLOOKUP($O$1,INDIRECT(DATA!$A$4),35+AE2,0)/1000</f>
        <v>0</v>
      </c>
      <c r="AF7" s="9"/>
      <c r="AG7" s="9"/>
      <c r="AH7" s="9"/>
      <c r="AI7" s="9"/>
      <c r="AJ7" s="20" t="s">
        <v>69</v>
      </c>
      <c r="AK7" s="20"/>
      <c r="AL7" s="17"/>
      <c r="AM7" s="18"/>
      <c r="AN7" s="19"/>
      <c r="AO7" s="18"/>
      <c r="AP7" s="20"/>
      <c r="AQ7" s="20"/>
      <c r="AR7" s="20"/>
      <c r="AS7" s="20"/>
      <c r="AT7" s="20"/>
      <c r="AU7" s="20"/>
      <c r="AV7" s="20"/>
      <c r="AW7" s="20"/>
    </row>
    <row r="8" spans="1:49" ht="17.25" customHeight="1">
      <c r="A8" s="251"/>
      <c r="B8" s="252"/>
      <c r="C8" s="253"/>
      <c r="D8" s="253"/>
      <c r="E8" s="253"/>
      <c r="F8" s="253"/>
      <c r="G8" s="253"/>
      <c r="H8" s="254"/>
      <c r="I8" s="255"/>
      <c r="J8" s="255"/>
      <c r="K8" s="255"/>
      <c r="L8" s="256"/>
      <c r="M8" s="48"/>
      <c r="N8" s="9"/>
      <c r="O8" s="9" t="s">
        <v>12</v>
      </c>
      <c r="P8" s="14">
        <f ca="1">VLOOKUP($O$1,INDIRECT(DATA!$A$4),J9+34,0)</f>
        <v>2601000</v>
      </c>
      <c r="Q8" s="600"/>
      <c r="AI8" s="9"/>
      <c r="AJ8" s="51">
        <f ca="1">AK1</f>
        <v>2507000</v>
      </c>
      <c r="AK8" s="52" t="str">
        <f ca="1">RIGHT("000000000000"&amp;ROUND(AJ8,0),12)</f>
        <v>000002507000</v>
      </c>
      <c r="AL8" s="53">
        <v>1</v>
      </c>
      <c r="AM8" s="53">
        <v>2</v>
      </c>
      <c r="AN8" s="53">
        <v>3</v>
      </c>
      <c r="AO8" s="54">
        <v>4</v>
      </c>
      <c r="AP8" s="54">
        <v>5</v>
      </c>
      <c r="AQ8" s="54">
        <v>6</v>
      </c>
      <c r="AR8" s="55">
        <v>7</v>
      </c>
      <c r="AS8" s="55">
        <v>8</v>
      </c>
      <c r="AT8" s="55">
        <v>9</v>
      </c>
      <c r="AU8" s="56">
        <v>10</v>
      </c>
      <c r="AV8" s="56">
        <v>11</v>
      </c>
      <c r="AW8" s="56">
        <v>12</v>
      </c>
    </row>
    <row r="9" spans="1:49" ht="17.25" customHeight="1">
      <c r="A9" s="257"/>
      <c r="B9" s="258" t="s">
        <v>71</v>
      </c>
      <c r="C9" s="684" t="str">
        <f ca="1">VLOOKUP($O$5,INDIRECT(DATA!$A$4),2,0)</f>
        <v>Mai Ánh Điệp</v>
      </c>
      <c r="D9" s="257"/>
      <c r="E9" s="260"/>
      <c r="F9" s="260"/>
      <c r="G9" s="261" t="s">
        <v>72</v>
      </c>
      <c r="H9" s="262" t="str">
        <f ca="1">VLOOKUP($O$5,INDIRECT(DATA!$A$4),3,0)</f>
        <v>A10</v>
      </c>
      <c r="I9" s="257" t="s">
        <v>73</v>
      </c>
      <c r="J9" s="263">
        <v>2</v>
      </c>
      <c r="K9" s="264"/>
      <c r="L9" s="265"/>
      <c r="M9" s="59"/>
      <c r="N9" s="9"/>
      <c r="O9" s="9" t="s">
        <v>16</v>
      </c>
      <c r="P9" s="399" t="str">
        <f ca="1">ROUND(J13/P8*100,2)&amp;" %"</f>
        <v>96.39 %</v>
      </c>
      <c r="Q9" s="601"/>
      <c r="AI9" s="9"/>
      <c r="AJ9" s="62"/>
      <c r="AK9" s="63"/>
      <c r="AL9" s="64">
        <f ca="1">VALUE(MID(AK8,AL8,1))</f>
        <v>0</v>
      </c>
      <c r="AM9" s="64">
        <f ca="1">VALUE(MID(AK8,AM8,1))</f>
        <v>0</v>
      </c>
      <c r="AN9" s="64">
        <f ca="1">VALUE(MID(AK8,AN8,1))</f>
        <v>0</v>
      </c>
      <c r="AO9" s="65">
        <f ca="1">VALUE(MID(AK8,AO8,1))</f>
        <v>0</v>
      </c>
      <c r="AP9" s="65">
        <f ca="1">VALUE(MID(AK8,AP8,1))</f>
        <v>0</v>
      </c>
      <c r="AQ9" s="65">
        <f ca="1">VALUE(MID(AK8,AQ8,1))</f>
        <v>2</v>
      </c>
      <c r="AR9" s="66">
        <f ca="1">VALUE(MID(AK8,AR8,1))</f>
        <v>5</v>
      </c>
      <c r="AS9" s="66">
        <f ca="1">VALUE(MID(AK8,AS8,1))</f>
        <v>0</v>
      </c>
      <c r="AT9" s="66">
        <f ca="1">VALUE(MID(AK8,AT8,1))</f>
        <v>7</v>
      </c>
      <c r="AU9" s="67">
        <f ca="1">VALUE(MID(AK8,AU8,1))</f>
        <v>0</v>
      </c>
      <c r="AV9" s="67">
        <f ca="1">VALUE(MID(AK8,AV8,1))</f>
        <v>0</v>
      </c>
      <c r="AW9" s="67">
        <f ca="1">VALUE(MID(AK8,AW8,1))</f>
        <v>0</v>
      </c>
    </row>
    <row r="10" spans="1:49" ht="17.25" customHeight="1">
      <c r="A10" s="257"/>
      <c r="B10" s="266" t="s">
        <v>75</v>
      </c>
      <c r="C10" s="257" t="str">
        <f>"Thu tiền thuê phòng trọ tháng "&amp;J9&amp;" năm 2020"</f>
        <v>Thu tiền thuê phòng trọ tháng 2 năm 2020</v>
      </c>
      <c r="D10" s="267"/>
      <c r="E10" s="267"/>
      <c r="F10" s="268"/>
      <c r="G10" s="269"/>
      <c r="H10" s="257"/>
      <c r="I10" s="280" t="s">
        <v>76</v>
      </c>
      <c r="J10" s="271">
        <f ca="1">VLOOKUP($O$1,INDIRECT(DATA!$A$4),J9+167,0)</f>
        <v>1800000</v>
      </c>
      <c r="K10" s="272"/>
      <c r="L10" s="273"/>
      <c r="M10" s="68"/>
      <c r="N10" s="9"/>
      <c r="O10" s="27"/>
      <c r="P10" s="9"/>
      <c r="Q10" s="599"/>
      <c r="AI10" s="9"/>
      <c r="AJ10" s="62"/>
      <c r="AK10" s="63"/>
      <c r="AL10" s="64">
        <f ca="1">SUM(AL9)</f>
        <v>0</v>
      </c>
      <c r="AM10" s="64">
        <f ca="1">SUM(AL9:AM9)</f>
        <v>0</v>
      </c>
      <c r="AN10" s="64">
        <f ca="1">SUM(AL9:AN9)</f>
        <v>0</v>
      </c>
      <c r="AO10" s="65">
        <f ca="1">SUM(AO9)</f>
        <v>0</v>
      </c>
      <c r="AP10" s="65">
        <f ca="1">SUM(AO9:AP9)</f>
        <v>0</v>
      </c>
      <c r="AQ10" s="65">
        <f ca="1">SUM(AO9:AQ9)</f>
        <v>2</v>
      </c>
      <c r="AR10" s="66">
        <f ca="1">SUM(AR9)</f>
        <v>5</v>
      </c>
      <c r="AS10" s="66">
        <f ca="1">SUM(AR9:AS9)</f>
        <v>5</v>
      </c>
      <c r="AT10" s="66">
        <f ca="1">SUM(AR9:AT9)</f>
        <v>12</v>
      </c>
      <c r="AU10" s="67">
        <f ca="1">SUM(AU9)</f>
        <v>0</v>
      </c>
      <c r="AV10" s="67">
        <f ca="1">SUM(AU9:AV9)</f>
        <v>0</v>
      </c>
      <c r="AW10" s="67">
        <f ca="1">SUM(AU9:AW9)</f>
        <v>0</v>
      </c>
    </row>
    <row r="11" spans="1:49" ht="17.25" customHeight="1">
      <c r="A11" s="257"/>
      <c r="B11" s="274" t="s">
        <v>77</v>
      </c>
      <c r="C11" s="275" t="s">
        <v>78</v>
      </c>
      <c r="D11" s="276">
        <f ca="1">VLOOKUP($O$5,INDIRECT(DATA!$A$4),J9+5,0)</f>
        <v>13887</v>
      </c>
      <c r="E11" s="267" t="s">
        <v>79</v>
      </c>
      <c r="F11" s="276">
        <f ca="1">VLOOKUP($O$5,INDIRECT(DATA!$A$4),J9+4,0)</f>
        <v>13783</v>
      </c>
      <c r="G11" s="277" t="s">
        <v>80</v>
      </c>
      <c r="H11" s="276">
        <f t="shared" ref="H11:H12" ca="1" si="0">D11-F11</f>
        <v>104</v>
      </c>
      <c r="I11" s="257" t="s">
        <v>81</v>
      </c>
      <c r="J11" s="271">
        <f ca="1">VLOOKUP($O$1,INDIRECT(DATA!$A$4),J9+102,0)*H11</f>
        <v>312000</v>
      </c>
      <c r="K11" s="257"/>
      <c r="L11" s="257"/>
      <c r="M11" s="50"/>
      <c r="N11" s="9"/>
      <c r="O11" s="9"/>
      <c r="P11" s="9"/>
      <c r="Q11" s="59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72"/>
      <c r="AK11" s="63"/>
      <c r="AL11" s="73" t="str">
        <f ca="1">IF(AL9=0,"",CHOOSE(AL9,"một","hai","ba","bốn","năm","sáu","bảy","tám","chín"))</f>
        <v/>
      </c>
      <c r="AM11" s="73" t="str">
        <f ca="1">IF(AM9=0,IF(AND(AL9&lt;&gt;0,AN9&lt;&gt;0),"lẻ",""),CHOOSE(AM9,"mười","hai","ba","bốn","năm","sáu","bảy","tám","chín"))</f>
        <v/>
      </c>
      <c r="AN11" s="73" t="str">
        <f ca="1">IF(AN9=0,"",CHOOSE(AN9,IF(AM9&gt;1,"mốt","một"),"hai","ba","bốn",IF(AM9=0,"năm","lăm"),"sáu","bảy","tám","chín"))</f>
        <v/>
      </c>
      <c r="AO11" s="74" t="str">
        <f ca="1">IF(AO9=0,"",CHOOSE(AO9,"một","hai","ba","bốn","năm","sáu","bảy","tám","chín"))</f>
        <v/>
      </c>
      <c r="AP11" s="74" t="str">
        <f ca="1">IF(AP9=0,IF(AND(AO9&lt;&gt;0,AQ9&lt;&gt;0),"lẻ",""),CHOOSE(AP9,"mười","hai","ba","bốn","năm","sáu","bảy","tám","chín"))</f>
        <v/>
      </c>
      <c r="AQ11" s="74" t="str">
        <f ca="1">IF(AQ9=0,"",CHOOSE(AQ9,IF(AP9&gt;1,"mốt","một"),"hai","ba","bốn",IF(AP9=0,"năm","lăm"),"sáu","bảy","tám","chín"))</f>
        <v>hai</v>
      </c>
      <c r="AR11" s="75" t="str">
        <f ca="1">IF(AR9=0,"",CHOOSE(AR9,"một","hai","ba","bốn","năm","sáu","bảy","tám","chín"))</f>
        <v>năm</v>
      </c>
      <c r="AS11" s="75" t="str">
        <f ca="1">IF(AS9=0,IF(AND(AR9&lt;&gt;0,AT9&lt;&gt;0),"lẻ",""),CHOOSE(AS9,"mười","hai","ba","bốn","năm","sáu","bảy","tám","chín"))</f>
        <v>lẻ</v>
      </c>
      <c r="AT11" s="75" t="str">
        <f ca="1">IF(AT9=0,"",CHOOSE(AT9,IF(AS9&gt;1,"mốt","một"),"hai","ba","bốn",IF(AS9=0,"năm","lăm"),"sáu","bảy","tám","chín"))</f>
        <v>bảy</v>
      </c>
      <c r="AU11" s="76" t="str">
        <f ca="1">IF(AU9=0,"",CHOOSE(AU9,"một","hai","ba","bốn","năm","sáu","bảy","tám","chín"))</f>
        <v/>
      </c>
      <c r="AV11" s="76" t="str">
        <f ca="1">IF(AV9=0,IF(AND(AU9&lt;&gt;0,AW9&lt;&gt;0),"lẻ",""),CHOOSE(AV9,"mười","hai","ba","bốn","năm","sáu","bảy","tám","chín"))</f>
        <v/>
      </c>
      <c r="AW11" s="76" t="str">
        <f ca="1">IF(AW9=0,"",CHOOSE(AW9,IF(AV9&gt;1,"mốt","một"),"hai","ba","bốn",IF(AV9=0,"năm","lăm"),"sáu","bảy","tám","chín"))</f>
        <v/>
      </c>
    </row>
    <row r="12" spans="1:49" ht="17.25" customHeight="1">
      <c r="A12" s="257"/>
      <c r="B12" s="274" t="s">
        <v>82</v>
      </c>
      <c r="C12" s="275" t="s">
        <v>78</v>
      </c>
      <c r="D12" s="276">
        <f ca="1">VLOOKUP($P$5,INDIRECT(DATA!$A$4),J9+5,0)</f>
        <v>1286</v>
      </c>
      <c r="E12" s="267" t="s">
        <v>79</v>
      </c>
      <c r="F12" s="276">
        <f ca="1">VLOOKUP($P$5,INDIRECT(DATA!$A$4),J9+4,0)</f>
        <v>1267</v>
      </c>
      <c r="G12" s="277" t="s">
        <v>80</v>
      </c>
      <c r="H12" s="276">
        <f t="shared" ca="1" si="0"/>
        <v>19</v>
      </c>
      <c r="I12" s="257" t="s">
        <v>81</v>
      </c>
      <c r="J12" s="271">
        <f ca="1">VLOOKUP($O$1,INDIRECT(DATA!$A$4),J9+115,0)*H12</f>
        <v>380000</v>
      </c>
      <c r="K12" s="278"/>
      <c r="L12" s="257"/>
      <c r="M12" s="50"/>
      <c r="N12" s="9"/>
      <c r="O12" s="9"/>
      <c r="P12" s="9"/>
      <c r="Q12" s="59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62"/>
      <c r="AK12" s="63"/>
      <c r="AL12" s="73" t="str">
        <f ca="1">IF(AL9=0,"","trăm")</f>
        <v/>
      </c>
      <c r="AM12" s="73" t="str">
        <f ca="1">IF(AM9=0,"",IF(AM9=1,"","mươi"))</f>
        <v/>
      </c>
      <c r="AN12" s="73" t="str">
        <f ca="1">IF(AND(AN9=0,AN10=0),"","tỷ")</f>
        <v/>
      </c>
      <c r="AO12" s="74" t="str">
        <f ca="1">IF(AO9=0,"","trăm")</f>
        <v/>
      </c>
      <c r="AP12" s="74" t="str">
        <f ca="1">IF(AP9=0,"",IF(AP9=1,"","mươi"))</f>
        <v/>
      </c>
      <c r="AQ12" s="74" t="str">
        <f ca="1">IF(AND(AQ9=0,AQ10=0),"","triệu")</f>
        <v>triệu</v>
      </c>
      <c r="AR12" s="75" t="str">
        <f ca="1">IF(AR9=0,"","trăm")</f>
        <v>trăm</v>
      </c>
      <c r="AS12" s="75" t="str">
        <f ca="1">IF(AS9=0,"",IF(AS9=1,"","mươi"))</f>
        <v/>
      </c>
      <c r="AT12" s="75" t="str">
        <f ca="1">IF(AND(AT9=0,AT10=0),"","ngàn")</f>
        <v>ngàn</v>
      </c>
      <c r="AU12" s="76" t="str">
        <f ca="1">IF(AU9=0,"","trăm")</f>
        <v/>
      </c>
      <c r="AV12" s="76" t="str">
        <f ca="1">IF(AV9=0,"",IF(AV9=1,"","mươi"))</f>
        <v/>
      </c>
      <c r="AW12" s="76"/>
    </row>
    <row r="13" spans="1:49" ht="17.25" customHeight="1">
      <c r="A13" s="257"/>
      <c r="B13" s="274" t="s">
        <v>84</v>
      </c>
      <c r="C13" s="274"/>
      <c r="D13" s="279">
        <f ca="1">VLOOKUP($O$5,INDIRECT(DATA!$A$4),21,0)</f>
        <v>15000</v>
      </c>
      <c r="E13" s="270" t="s">
        <v>87</v>
      </c>
      <c r="F13" s="279">
        <f ca="1">VLOOKUP($O$5,INDIRECT(DATA!$A$4),22,0)</f>
        <v>0</v>
      </c>
      <c r="G13" s="280" t="s">
        <v>102</v>
      </c>
      <c r="H13" s="279">
        <f ca="1">VLOOKUP($O$5,INDIRECT(DATA!$A$4),23,0)</f>
        <v>0</v>
      </c>
      <c r="I13" s="262" t="s">
        <v>110</v>
      </c>
      <c r="J13" s="567">
        <f ca="1">SUM(J10,J11,J12,D13,F13,H13)</f>
        <v>2507000</v>
      </c>
      <c r="K13" s="281"/>
      <c r="L13" s="278"/>
      <c r="M13" s="77"/>
      <c r="N13" s="9"/>
      <c r="O13" s="9"/>
      <c r="P13" s="9"/>
      <c r="Q13" s="59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62"/>
      <c r="AK13" s="87" t="str">
        <f ca="1">UPPER(LEFT(TRIM(IF(AJ8=0,"không đồng.",AL11&amp;" "&amp;AL12&amp;" "&amp;AM11&amp;" "&amp;AM12&amp;" "&amp;AN11&amp;" "&amp;AN12&amp;" "&amp;AO11&amp;" "&amp;AO12&amp;" "&amp;AP11&amp;" "&amp;AP12&amp;" "&amp;AQ11&amp;" "&amp;AQ12&amp;" "&amp;AR11&amp;" "&amp;AR12&amp;" "&amp;AS11&amp;" "&amp;AS12&amp;" "&amp;AT11&amp;" "&amp;AT12&amp;" "&amp;AU11&amp;" "&amp;AU12&amp;" "&amp;AV11&amp;" "&amp;AV12&amp;" "&amp;AW11&amp;" "&amp;AW12)),1))&amp;RIGHT(TRIM(IF(AJ8=0,"không đồng.",AL11&amp;" "&amp;AL12&amp;" "&amp;AM11&amp;" "&amp;AM12&amp;" "&amp;AN11&amp;" "&amp;AN12&amp;" "&amp;AO11&amp;" "&amp;AO12&amp;" "&amp;AP11&amp;" "&amp;AP12&amp;" "&amp;AQ11&amp;" "&amp;AQ12&amp;" "&amp;AR11&amp;" "&amp;AR12&amp;" "&amp;AS11&amp;" "&amp;AS12&amp;" "&amp;AT11&amp;" "&amp;AT12&amp;" "&amp;AU11&amp;" "&amp;AU12&amp;" "&amp;AV11&amp;" "&amp;AV12&amp;" "&amp;AW11&amp;" "&amp;AW12)),LEN(TRIM(IF(AJ8=0,"không đồng.",AL11&amp;" "&amp;AL12&amp;" "&amp;AM11&amp;" "&amp;AM12&amp;" "&amp;AN11&amp;" "&amp;AN12&amp;" "&amp;AO11&amp;" "&amp;AO12&amp;" "&amp;AP11&amp;" "&amp;AP12&amp;" "&amp;AQ11&amp;" "&amp;AQ12&amp;" "&amp;AR11&amp;" "&amp;AR12&amp;" "&amp;AS11&amp;" "&amp;AS12&amp;" "&amp;AT11&amp;" "&amp;AT12&amp;" "&amp;AU11&amp;" "&amp;AU12&amp;" "&amp;AV11&amp;" "&amp;AV12&amp;" "&amp;AW11&amp;" "&amp;AW12)))-1)</f>
        <v>Hai triệu năm trăm lẻ bảy ngàn</v>
      </c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</row>
    <row r="14" spans="1:49" ht="17.25" customHeight="1">
      <c r="A14" s="257"/>
      <c r="B14" s="685" t="s">
        <v>130</v>
      </c>
      <c r="C14" s="282" t="str">
        <f ca="1">AK3</f>
        <v>Hai triệu năm trăm lẻ bảy ngàn đồng./.</v>
      </c>
      <c r="D14" s="281"/>
      <c r="E14" s="281"/>
      <c r="F14" s="281"/>
      <c r="G14" s="281"/>
      <c r="H14" s="281"/>
      <c r="I14" s="281"/>
      <c r="J14" s="281"/>
      <c r="K14" s="283"/>
      <c r="L14" s="284"/>
      <c r="M14" s="93"/>
      <c r="N14" s="9"/>
      <c r="O14" s="9"/>
      <c r="P14" s="9"/>
      <c r="Q14" s="599"/>
      <c r="Z14" s="294"/>
      <c r="AA14" s="294"/>
      <c r="AB14" s="294"/>
      <c r="AC14" s="294"/>
      <c r="AD14" s="294"/>
      <c r="AE14" s="294"/>
      <c r="AF14" s="294"/>
      <c r="AG14" s="294"/>
      <c r="AH14" s="294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ht="17.25" customHeight="1">
      <c r="A15" s="257"/>
      <c r="B15" s="285" t="s">
        <v>133</v>
      </c>
      <c r="C15" s="566" t="str">
        <f>IF(O19=1,"Chưa thanh toán tiền",IF(O19=2,"Đã thanh toán đủ tiền",IF(O19=3,"Đã gửi trước "&amp;N21," ")))</f>
        <v>Chưa thanh toán tiền</v>
      </c>
      <c r="D15" s="566"/>
      <c r="E15" s="566"/>
      <c r="F15" s="566"/>
      <c r="G15" s="566"/>
      <c r="H15" s="566"/>
      <c r="I15" s="566"/>
      <c r="L15" s="284"/>
      <c r="M15" s="93"/>
      <c r="N15" s="7">
        <v>1</v>
      </c>
      <c r="O15" s="47" t="s">
        <v>68</v>
      </c>
    </row>
    <row r="16" spans="1:49" ht="17.25" customHeight="1">
      <c r="A16" s="257"/>
      <c r="B16" s="259"/>
      <c r="C16" s="286"/>
      <c r="D16" s="281"/>
      <c r="E16" s="281"/>
      <c r="F16" s="281"/>
      <c r="G16" s="281"/>
      <c r="H16" s="281"/>
      <c r="I16" s="281"/>
      <c r="L16" s="568"/>
      <c r="M16" s="92"/>
      <c r="N16" s="7">
        <v>2</v>
      </c>
      <c r="O16" s="47" t="s">
        <v>70</v>
      </c>
    </row>
    <row r="17" spans="1:34" ht="17.25" customHeight="1">
      <c r="A17" s="257"/>
      <c r="B17" s="908" t="s">
        <v>134</v>
      </c>
      <c r="C17" s="903"/>
      <c r="D17" s="903"/>
      <c r="E17" s="903"/>
      <c r="F17" s="287"/>
      <c r="G17" s="278"/>
      <c r="H17" s="288" t="s">
        <v>135</v>
      </c>
      <c r="I17" s="344"/>
      <c r="J17" s="914" t="str">
        <f ca="1">VLOOKUP($O$5,INDIRECT(DATA!$A$4),3,0)</f>
        <v>A10</v>
      </c>
      <c r="K17" s="914"/>
      <c r="L17" s="568"/>
      <c r="M17" s="92"/>
      <c r="N17" s="57">
        <v>3</v>
      </c>
      <c r="O17" s="47" t="s">
        <v>74</v>
      </c>
      <c r="Q17" s="1028"/>
    </row>
    <row r="18" spans="1:34" ht="17.25" customHeight="1" thickBot="1">
      <c r="A18" s="257"/>
      <c r="B18" s="905" t="s">
        <v>136</v>
      </c>
      <c r="C18" s="903"/>
      <c r="D18" s="903"/>
      <c r="E18" s="903"/>
      <c r="F18" s="289"/>
      <c r="G18" s="259"/>
      <c r="H18" s="289" t="s">
        <v>136</v>
      </c>
      <c r="I18" s="344"/>
      <c r="J18" s="914"/>
      <c r="K18" s="914"/>
      <c r="L18" s="568"/>
      <c r="M18" s="232"/>
      <c r="N18" s="9"/>
      <c r="O18" s="9"/>
      <c r="P18" s="9"/>
      <c r="Q18" s="599"/>
    </row>
    <row r="19" spans="1:34" ht="17.25" customHeight="1" thickBot="1">
      <c r="A19" s="257"/>
      <c r="B19" s="289"/>
      <c r="C19" s="289"/>
      <c r="D19" s="289"/>
      <c r="E19" s="289"/>
      <c r="F19" s="289"/>
      <c r="G19" s="259"/>
      <c r="H19" s="289"/>
      <c r="I19" s="344"/>
      <c r="J19" s="914"/>
      <c r="K19" s="914"/>
      <c r="L19" s="568"/>
      <c r="M19" s="232"/>
      <c r="N19" s="45" t="s">
        <v>67</v>
      </c>
      <c r="O19" s="298">
        <v>1</v>
      </c>
      <c r="P19" s="50"/>
      <c r="Q19" s="603"/>
    </row>
    <row r="20" spans="1:34" ht="17.25" customHeight="1">
      <c r="A20" s="257"/>
      <c r="B20" s="289"/>
      <c r="C20" s="289"/>
      <c r="D20" s="289"/>
      <c r="E20" s="289"/>
      <c r="F20" s="289"/>
      <c r="G20" s="259"/>
      <c r="H20" s="289"/>
      <c r="I20" s="344"/>
      <c r="J20" s="914"/>
      <c r="K20" s="914"/>
      <c r="L20" s="568"/>
      <c r="M20" s="232"/>
      <c r="N20" s="50"/>
      <c r="O20" s="50"/>
      <c r="P20" s="50"/>
      <c r="Q20" s="603"/>
    </row>
    <row r="21" spans="1:34" ht="17.25" customHeight="1">
      <c r="A21" s="257"/>
      <c r="B21" s="289"/>
      <c r="C21" s="289"/>
      <c r="D21" s="289"/>
      <c r="E21" s="289"/>
      <c r="F21" s="289"/>
      <c r="G21" s="259"/>
      <c r="H21" s="289"/>
      <c r="I21" s="257"/>
      <c r="J21" s="914"/>
      <c r="K21" s="914"/>
      <c r="L21" s="568"/>
      <c r="M21" s="232"/>
      <c r="N21" s="60">
        <f>O21*1000</f>
        <v>0</v>
      </c>
      <c r="O21" s="61">
        <v>0</v>
      </c>
    </row>
    <row r="22" spans="1:34" ht="17.25" customHeight="1">
      <c r="A22" s="257"/>
      <c r="B22" s="906" t="str">
        <f ca="1">VLOOKUP($O$5,INDIRECT(DATA!$A$4),2,0)</f>
        <v>Mai Ánh Điệp</v>
      </c>
      <c r="C22" s="903"/>
      <c r="D22" s="903"/>
      <c r="E22" s="903"/>
      <c r="F22" s="257"/>
      <c r="G22" s="907" t="s">
        <v>137</v>
      </c>
      <c r="H22" s="903"/>
      <c r="I22" s="903"/>
      <c r="L22" s="257"/>
      <c r="M22" s="50"/>
      <c r="N22" s="57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</row>
    <row r="23" spans="1:34" ht="17.25" customHeight="1">
      <c r="A23" s="260"/>
      <c r="B23" s="260"/>
      <c r="C23" s="260"/>
      <c r="D23" s="260"/>
      <c r="E23" s="260"/>
      <c r="F23" s="260"/>
      <c r="G23" s="260"/>
      <c r="H23" s="260"/>
      <c r="I23" s="569">
        <f ca="1">VLOOKUP($O$1,INDIRECT(DATA!$A$4),J9+75,0)</f>
        <v>162</v>
      </c>
      <c r="J23" s="681">
        <f ca="1">P8</f>
        <v>2601000</v>
      </c>
      <c r="K23" s="570" t="str">
        <f ca="1">P9</f>
        <v>96.39 %</v>
      </c>
      <c r="L23" s="287"/>
      <c r="M23" s="233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</row>
    <row r="24" spans="1:34" ht="18" customHeight="1">
      <c r="A24" s="290"/>
      <c r="B24" s="682" t="str">
        <f ca="1">"Số người: "&amp;VLOOKUP(H9,'DS 2019'!R10:U45,3,0)&amp;" người"</f>
        <v>Số người: 7 người</v>
      </c>
      <c r="E24" s="291" t="s">
        <v>138</v>
      </c>
      <c r="F24" s="292" t="str">
        <f ca="1">VLOOKUP(H9,'DS 2019'!R10:U45,2,0)</f>
        <v>Điệp, Lành, Phát, Phấn, Phước, Thúy, Duyên</v>
      </c>
      <c r="G24" s="247"/>
      <c r="H24" s="247"/>
      <c r="I24" s="569">
        <f ca="1">VLOOKUP($O$1,INDIRECT(DATA!$A$4),J9+88,0)</f>
        <v>20</v>
      </c>
      <c r="J24" s="683">
        <f ca="1">VLOOKUP($O$1,INDIRECT(DATA!$A$4),J9+35,0)</f>
        <v>2507000</v>
      </c>
      <c r="K24" s="680" t="str">
        <f ca="1">IF(J13-J24=0,"TRUE","FALSE")</f>
        <v>TRUE</v>
      </c>
      <c r="L24" s="260"/>
      <c r="M24" s="57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</row>
    <row r="25" spans="1:34" ht="18" customHeight="1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</row>
    <row r="26" spans="1:34" ht="18" customHeight="1">
      <c r="A26" s="9"/>
      <c r="B26" s="9"/>
      <c r="C26" s="96"/>
      <c r="D26" s="31"/>
      <c r="E26" s="31"/>
      <c r="F26" s="31"/>
      <c r="G26" s="31"/>
      <c r="H26" s="31"/>
      <c r="I26" s="31"/>
      <c r="J26" s="31"/>
      <c r="K26" s="31"/>
      <c r="L26" s="57"/>
      <c r="M26" s="57"/>
    </row>
    <row r="27" spans="1:34" ht="15.75" customHeight="1">
      <c r="A27" s="9"/>
      <c r="B27" s="9"/>
      <c r="C27" s="96"/>
      <c r="D27" s="31"/>
      <c r="E27" s="31"/>
      <c r="F27" s="31"/>
      <c r="G27" s="31"/>
      <c r="H27" s="31"/>
      <c r="I27" s="31"/>
      <c r="J27" s="31"/>
      <c r="K27" s="31"/>
      <c r="L27" s="33"/>
      <c r="M27" s="33"/>
    </row>
    <row r="28" spans="1:34" ht="15.75" customHeight="1">
      <c r="A28" s="9"/>
      <c r="B28" s="9"/>
      <c r="C28" s="96"/>
      <c r="D28" s="31"/>
      <c r="E28" s="31"/>
      <c r="F28" s="31"/>
      <c r="G28" s="31"/>
      <c r="H28" s="31"/>
      <c r="I28" s="31"/>
      <c r="J28" s="31"/>
      <c r="K28" s="31"/>
      <c r="L28" s="33"/>
      <c r="M28" s="33"/>
      <c r="N28" s="33"/>
    </row>
    <row r="29" spans="1:34" ht="15.75" customHeight="1">
      <c r="A29" s="9"/>
      <c r="B29" s="9"/>
      <c r="C29" s="96"/>
      <c r="D29" s="31"/>
      <c r="E29" s="31"/>
      <c r="F29" s="31"/>
      <c r="G29" s="31"/>
      <c r="H29" s="31"/>
      <c r="I29" s="31"/>
      <c r="J29" s="31"/>
      <c r="K29" s="31"/>
      <c r="L29" s="33"/>
      <c r="M29" s="33"/>
      <c r="N29" s="33"/>
    </row>
    <row r="30" spans="1:34" ht="15.75" customHeight="1">
      <c r="A30" s="9"/>
      <c r="B30" s="9"/>
      <c r="C30" s="96"/>
      <c r="D30" s="31"/>
      <c r="E30" s="31"/>
      <c r="F30" s="31"/>
      <c r="G30" s="31"/>
      <c r="H30" s="31"/>
      <c r="I30" s="31"/>
      <c r="J30" s="31"/>
      <c r="K30" s="31"/>
      <c r="L30" s="33"/>
      <c r="M30" s="33"/>
      <c r="N30" s="33"/>
    </row>
    <row r="31" spans="1:34" ht="15.75" customHeight="1">
      <c r="A31" s="9"/>
      <c r="B31" s="9"/>
      <c r="C31" s="96"/>
      <c r="D31" s="31"/>
      <c r="E31" s="31"/>
      <c r="F31" s="31"/>
      <c r="G31" s="31"/>
      <c r="H31" s="31"/>
      <c r="I31" s="31"/>
      <c r="J31" s="31"/>
      <c r="K31" s="31"/>
      <c r="L31" s="33"/>
      <c r="M31" s="33"/>
      <c r="N31" s="33"/>
    </row>
    <row r="32" spans="1:34" ht="15.75" customHeight="1">
      <c r="A32" s="9"/>
      <c r="B32" s="9"/>
      <c r="C32" s="96"/>
      <c r="D32" s="31"/>
      <c r="E32" s="31"/>
      <c r="F32" s="31"/>
      <c r="G32" s="31"/>
      <c r="H32" s="31"/>
      <c r="I32" s="31"/>
      <c r="J32" s="31"/>
      <c r="K32" s="31"/>
      <c r="L32" s="33"/>
      <c r="M32" s="33"/>
      <c r="N32" s="33"/>
    </row>
    <row r="33" spans="1:49" ht="15.75" customHeight="1">
      <c r="A33" s="9"/>
      <c r="B33" s="9"/>
      <c r="C33" s="96"/>
      <c r="D33" s="31"/>
      <c r="E33" s="31"/>
      <c r="F33" s="31"/>
      <c r="G33" s="31"/>
      <c r="H33" s="31"/>
      <c r="I33" s="31"/>
      <c r="J33" s="31"/>
      <c r="K33" s="31"/>
      <c r="L33" s="33"/>
      <c r="M33" s="33"/>
      <c r="N33" s="33"/>
    </row>
    <row r="34" spans="1:49" ht="15.75" customHeight="1">
      <c r="A34" s="9"/>
      <c r="B34" s="9"/>
      <c r="C34" s="96"/>
      <c r="D34" s="31"/>
      <c r="E34" s="31"/>
      <c r="F34" s="31"/>
      <c r="G34" s="31"/>
      <c r="H34" s="31"/>
      <c r="I34" s="31"/>
      <c r="J34" s="31"/>
      <c r="K34" s="31"/>
      <c r="L34" s="33"/>
      <c r="M34" s="33"/>
      <c r="N34" s="3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15.75" customHeight="1">
      <c r="A35" s="9"/>
      <c r="B35" s="9"/>
      <c r="C35" s="96"/>
      <c r="D35" s="31"/>
      <c r="E35" s="31"/>
      <c r="F35" s="31"/>
      <c r="G35" s="31"/>
      <c r="H35" s="31"/>
      <c r="I35" s="31"/>
      <c r="J35" s="31"/>
      <c r="K35" s="31"/>
      <c r="L35" s="33"/>
      <c r="M35" s="33"/>
      <c r="N35" s="33"/>
      <c r="O35" s="50"/>
      <c r="P35" s="50"/>
      <c r="Q35" s="603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ht="15.75" customHeight="1">
      <c r="A36" s="9"/>
      <c r="B36" s="9"/>
      <c r="C36" s="96"/>
      <c r="D36" s="31"/>
      <c r="E36" s="31"/>
      <c r="F36" s="31"/>
      <c r="G36" s="31"/>
      <c r="H36" s="31"/>
      <c r="I36" s="31"/>
      <c r="J36" s="31"/>
      <c r="K36" s="31"/>
      <c r="L36" s="33"/>
      <c r="M36" s="33"/>
      <c r="N36" s="33"/>
      <c r="O36" s="50"/>
      <c r="P36" s="50"/>
      <c r="Q36" s="603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ht="15.75" customHeight="1">
      <c r="A37" s="9"/>
      <c r="B37" s="9"/>
      <c r="C37" s="96"/>
      <c r="D37" s="31"/>
      <c r="E37" s="31"/>
      <c r="F37" s="31"/>
      <c r="G37" s="31"/>
      <c r="H37" s="31"/>
      <c r="I37" s="31"/>
      <c r="J37" s="31"/>
      <c r="K37" s="31"/>
      <c r="L37" s="33"/>
      <c r="M37" s="33"/>
      <c r="N37" s="33"/>
      <c r="O37" s="50"/>
      <c r="P37" s="50"/>
      <c r="Q37" s="603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15.75" customHeight="1">
      <c r="A38" s="9"/>
      <c r="B38" s="9"/>
      <c r="C38" s="96"/>
      <c r="D38" s="31"/>
      <c r="E38" s="31"/>
      <c r="F38" s="31"/>
      <c r="G38" s="31"/>
      <c r="H38" s="31"/>
      <c r="I38" s="31"/>
      <c r="J38" s="31"/>
      <c r="K38" s="31"/>
      <c r="L38" s="33"/>
      <c r="M38" s="33"/>
      <c r="N38" s="33"/>
      <c r="O38" s="50"/>
      <c r="P38" s="50"/>
      <c r="Q38" s="603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ht="15.75" customHeight="1">
      <c r="A39" s="9"/>
      <c r="B39" s="9"/>
      <c r="C39" s="96"/>
      <c r="D39" s="31"/>
      <c r="E39" s="31"/>
      <c r="F39" s="31"/>
      <c r="G39" s="31"/>
      <c r="H39" s="31"/>
      <c r="I39" s="31"/>
      <c r="J39" s="31"/>
      <c r="K39" s="31"/>
      <c r="L39" s="33"/>
      <c r="M39" s="33"/>
      <c r="N39" s="33"/>
      <c r="O39" s="50"/>
      <c r="P39" s="50"/>
      <c r="Q39" s="603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15.75" customHeight="1">
      <c r="A40" s="9"/>
      <c r="B40" s="9"/>
      <c r="C40" s="96"/>
      <c r="D40" s="31"/>
      <c r="E40" s="31"/>
      <c r="F40" s="31"/>
      <c r="G40" s="31"/>
      <c r="H40" s="31"/>
      <c r="I40" s="31"/>
      <c r="J40" s="31"/>
      <c r="K40" s="31"/>
      <c r="L40" s="33"/>
      <c r="M40" s="33"/>
      <c r="N40" s="33"/>
      <c r="O40" s="48"/>
      <c r="P40" s="48"/>
      <c r="Q40" s="604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ht="15.75" customHeight="1">
      <c r="A41" s="9"/>
      <c r="B41" s="9"/>
      <c r="C41" s="96"/>
      <c r="D41" s="31"/>
      <c r="E41" s="31"/>
      <c r="F41" s="31"/>
      <c r="G41" s="31"/>
      <c r="H41" s="31"/>
      <c r="I41" s="31"/>
      <c r="J41" s="31"/>
      <c r="K41" s="31"/>
      <c r="L41" s="33"/>
      <c r="M41" s="33"/>
      <c r="N41" s="33"/>
      <c r="O41" s="48"/>
      <c r="P41" s="48"/>
      <c r="Q41" s="604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ht="15.75" customHeight="1">
      <c r="A42" s="9"/>
      <c r="B42" s="9"/>
      <c r="C42" s="96"/>
      <c r="D42" s="31"/>
      <c r="E42" s="31"/>
      <c r="F42" s="31"/>
      <c r="G42" s="31"/>
      <c r="H42" s="31"/>
      <c r="I42" s="31"/>
      <c r="J42" s="31"/>
      <c r="K42" s="31"/>
      <c r="L42" s="33"/>
      <c r="M42" s="33"/>
      <c r="N42" s="33"/>
      <c r="O42" s="48"/>
      <c r="P42" s="48"/>
      <c r="Q42" s="604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ht="15.75" customHeight="1">
      <c r="A43" s="9"/>
      <c r="B43" s="9"/>
      <c r="C43" s="96"/>
      <c r="D43" s="31"/>
      <c r="E43" s="31"/>
      <c r="F43" s="31"/>
      <c r="G43" s="31"/>
      <c r="H43" s="31"/>
      <c r="I43" s="31"/>
      <c r="J43" s="31"/>
      <c r="K43" s="31"/>
      <c r="L43" s="33"/>
      <c r="M43" s="33"/>
      <c r="N43" s="33"/>
      <c r="O43" s="9"/>
      <c r="P43" s="9"/>
      <c r="Q43" s="59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15.75" customHeight="1">
      <c r="A44" s="9"/>
      <c r="B44" s="9"/>
      <c r="C44" s="96"/>
      <c r="D44" s="31"/>
      <c r="E44" s="31"/>
      <c r="F44" s="31"/>
      <c r="G44" s="31"/>
      <c r="H44" s="31"/>
      <c r="I44" s="31"/>
      <c r="J44" s="31"/>
      <c r="K44" s="31"/>
      <c r="L44" s="33"/>
      <c r="M44" s="33"/>
      <c r="N44" s="33"/>
      <c r="O44" s="9"/>
      <c r="P44" s="9"/>
      <c r="Q44" s="59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ht="15.75" customHeight="1">
      <c r="A45" s="9"/>
      <c r="B45" s="9"/>
      <c r="C45" s="96"/>
      <c r="D45" s="31"/>
      <c r="E45" s="31"/>
      <c r="F45" s="31"/>
      <c r="G45" s="31"/>
      <c r="H45" s="31"/>
      <c r="I45" s="31"/>
      <c r="J45" s="31"/>
      <c r="K45" s="31"/>
      <c r="L45" s="33"/>
      <c r="M45" s="33"/>
      <c r="N45" s="33"/>
      <c r="O45" s="9"/>
      <c r="P45" s="9"/>
      <c r="Q45" s="59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ht="15.75" customHeight="1">
      <c r="A46" s="9"/>
      <c r="B46" s="9"/>
      <c r="C46" s="96"/>
      <c r="D46" s="31"/>
      <c r="E46" s="31"/>
      <c r="F46" s="31"/>
      <c r="G46" s="31"/>
      <c r="H46" s="31"/>
      <c r="I46" s="31"/>
      <c r="J46" s="31"/>
      <c r="K46" s="31"/>
      <c r="L46" s="33"/>
      <c r="M46" s="33"/>
      <c r="N46" s="33"/>
      <c r="O46" s="9"/>
      <c r="P46" s="9"/>
      <c r="Q46" s="59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ht="15.75" customHeight="1">
      <c r="A47" s="9"/>
      <c r="B47" s="9"/>
      <c r="C47" s="96"/>
      <c r="D47" s="31"/>
      <c r="E47" s="31"/>
      <c r="F47" s="31"/>
      <c r="G47" s="31"/>
      <c r="H47" s="31"/>
      <c r="I47" s="31"/>
      <c r="J47" s="31"/>
      <c r="K47" s="31"/>
      <c r="L47" s="33"/>
      <c r="M47" s="33"/>
      <c r="N47" s="33"/>
      <c r="O47" s="9"/>
      <c r="P47" s="9"/>
      <c r="Q47" s="59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ht="15.75" customHeight="1">
      <c r="A48" s="9"/>
      <c r="B48" s="9"/>
      <c r="C48" s="96"/>
      <c r="D48" s="31"/>
      <c r="E48" s="31"/>
      <c r="F48" s="31"/>
      <c r="G48" s="31"/>
      <c r="H48" s="31"/>
      <c r="I48" s="31"/>
      <c r="J48" s="31"/>
      <c r="K48" s="31"/>
      <c r="L48" s="33"/>
      <c r="M48" s="33"/>
      <c r="N48" s="33"/>
      <c r="O48" s="9"/>
      <c r="P48" s="9"/>
      <c r="Q48" s="59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ht="15.75" customHeight="1">
      <c r="A49" s="9"/>
      <c r="B49" s="9"/>
      <c r="C49" s="96"/>
      <c r="D49" s="31"/>
      <c r="E49" s="31"/>
      <c r="F49" s="31"/>
      <c r="G49" s="31"/>
      <c r="H49" s="31"/>
      <c r="I49" s="31"/>
      <c r="J49" s="31"/>
      <c r="K49" s="31"/>
      <c r="L49" s="33"/>
      <c r="M49" s="33"/>
      <c r="N49" s="33"/>
      <c r="O49" s="9"/>
      <c r="P49" s="9"/>
      <c r="Q49" s="59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ht="15.75" customHeight="1">
      <c r="A50" s="9"/>
      <c r="B50" s="9"/>
      <c r="C50" s="96"/>
      <c r="D50" s="31"/>
      <c r="E50" s="31"/>
      <c r="F50" s="31"/>
      <c r="G50" s="31"/>
      <c r="H50" s="31"/>
      <c r="I50" s="31"/>
      <c r="J50" s="31"/>
      <c r="K50" s="31"/>
      <c r="L50" s="33"/>
      <c r="M50" s="33"/>
      <c r="N50" s="33"/>
      <c r="O50" s="9"/>
      <c r="P50" s="9"/>
      <c r="Q50" s="59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ht="15.75" customHeight="1">
      <c r="A51" s="9"/>
      <c r="B51" s="9"/>
      <c r="C51" s="96"/>
      <c r="D51" s="31"/>
      <c r="E51" s="31"/>
      <c r="F51" s="31"/>
      <c r="G51" s="31"/>
      <c r="H51" s="31"/>
      <c r="I51" s="31"/>
      <c r="J51" s="31"/>
      <c r="K51" s="31"/>
      <c r="L51" s="33"/>
      <c r="M51" s="33"/>
      <c r="N51" s="33"/>
      <c r="O51" s="9"/>
      <c r="P51" s="9"/>
      <c r="Q51" s="59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ht="15.75" customHeight="1">
      <c r="A52" s="9"/>
      <c r="B52" s="9"/>
      <c r="C52" s="96"/>
      <c r="D52" s="31"/>
      <c r="E52" s="31"/>
      <c r="F52" s="31"/>
      <c r="G52" s="31"/>
      <c r="H52" s="31"/>
      <c r="I52" s="31"/>
      <c r="J52" s="31"/>
      <c r="K52" s="31"/>
      <c r="L52" s="33"/>
      <c r="M52" s="33"/>
      <c r="N52" s="33"/>
      <c r="O52" s="9"/>
      <c r="P52" s="9"/>
      <c r="Q52" s="59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ht="15.75" customHeight="1">
      <c r="A53" s="9"/>
      <c r="B53" s="9"/>
      <c r="C53" s="96"/>
      <c r="D53" s="31"/>
      <c r="E53" s="31"/>
      <c r="F53" s="31"/>
      <c r="G53" s="31"/>
      <c r="H53" s="31"/>
      <c r="I53" s="31"/>
      <c r="J53" s="31"/>
      <c r="K53" s="31"/>
      <c r="L53" s="33"/>
      <c r="M53" s="33"/>
      <c r="N53" s="33"/>
      <c r="O53" s="9"/>
      <c r="P53" s="9"/>
      <c r="Q53" s="59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ht="15.75" customHeight="1">
      <c r="A54" s="9"/>
      <c r="B54" s="9"/>
      <c r="C54" s="96"/>
      <c r="D54" s="31"/>
      <c r="E54" s="31"/>
      <c r="F54" s="31"/>
      <c r="G54" s="31"/>
      <c r="H54" s="31"/>
      <c r="I54" s="31"/>
      <c r="J54" s="31"/>
      <c r="K54" s="31"/>
      <c r="L54" s="33"/>
      <c r="M54" s="33"/>
      <c r="N54" s="33"/>
      <c r="O54" s="9"/>
      <c r="P54" s="9"/>
      <c r="Q54" s="59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ht="15.75" customHeight="1">
      <c r="A55" s="9"/>
      <c r="B55" s="9"/>
      <c r="C55" s="96"/>
      <c r="D55" s="31"/>
      <c r="E55" s="31"/>
      <c r="F55" s="31"/>
      <c r="G55" s="31"/>
      <c r="H55" s="31"/>
      <c r="I55" s="31"/>
      <c r="J55" s="31"/>
      <c r="K55" s="31"/>
      <c r="L55" s="33"/>
      <c r="M55" s="33"/>
      <c r="N55" s="33"/>
      <c r="O55" s="9"/>
      <c r="P55" s="9"/>
      <c r="Q55" s="59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ht="15.75" customHeight="1">
      <c r="A56" s="9"/>
      <c r="B56" s="9"/>
      <c r="C56" s="96"/>
      <c r="D56" s="31"/>
      <c r="E56" s="31"/>
      <c r="F56" s="31"/>
      <c r="G56" s="31"/>
      <c r="H56" s="31"/>
      <c r="I56" s="31"/>
      <c r="J56" s="31"/>
      <c r="K56" s="31"/>
      <c r="L56" s="33"/>
      <c r="M56" s="33"/>
      <c r="N56" s="33"/>
      <c r="O56" s="9"/>
      <c r="P56" s="9"/>
      <c r="Q56" s="59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ht="15.75" customHeight="1">
      <c r="A57" s="9"/>
      <c r="B57" s="9"/>
      <c r="C57" s="96"/>
      <c r="D57" s="31"/>
      <c r="E57" s="31"/>
      <c r="F57" s="31"/>
      <c r="G57" s="31"/>
      <c r="H57" s="31"/>
      <c r="I57" s="31"/>
      <c r="J57" s="31"/>
      <c r="K57" s="31"/>
      <c r="L57" s="33"/>
      <c r="M57" s="33"/>
      <c r="N57" s="33"/>
      <c r="O57" s="9"/>
      <c r="P57" s="9"/>
      <c r="Q57" s="59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ht="15.75" customHeight="1">
      <c r="A58" s="9"/>
      <c r="B58" s="9"/>
      <c r="C58" s="96"/>
      <c r="D58" s="31"/>
      <c r="E58" s="31"/>
      <c r="F58" s="31"/>
      <c r="G58" s="31"/>
      <c r="H58" s="31"/>
      <c r="I58" s="31"/>
      <c r="J58" s="31"/>
      <c r="K58" s="31"/>
      <c r="L58" s="33"/>
      <c r="M58" s="33"/>
      <c r="N58" s="33"/>
      <c r="O58" s="9"/>
      <c r="P58" s="9"/>
      <c r="Q58" s="59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ht="15.75" customHeight="1">
      <c r="A59" s="9"/>
      <c r="B59" s="9"/>
      <c r="C59" s="96"/>
      <c r="D59" s="31"/>
      <c r="E59" s="31"/>
      <c r="F59" s="31"/>
      <c r="G59" s="31"/>
      <c r="H59" s="31"/>
      <c r="I59" s="31"/>
      <c r="J59" s="31"/>
      <c r="K59" s="31"/>
      <c r="L59" s="33"/>
      <c r="M59" s="33"/>
      <c r="N59" s="33"/>
      <c r="O59" s="9"/>
      <c r="P59" s="9"/>
      <c r="Q59" s="59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ht="15.75" customHeight="1">
      <c r="A60" s="9"/>
      <c r="B60" s="9"/>
      <c r="C60" s="96"/>
      <c r="D60" s="31"/>
      <c r="E60" s="31"/>
      <c r="F60" s="31"/>
      <c r="G60" s="31"/>
      <c r="H60" s="31"/>
      <c r="I60" s="31"/>
      <c r="J60" s="31"/>
      <c r="K60" s="31"/>
      <c r="L60" s="33"/>
      <c r="M60" s="33"/>
      <c r="N60" s="33"/>
      <c r="O60" s="9"/>
      <c r="P60" s="9"/>
      <c r="Q60" s="59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ht="15.75" customHeight="1">
      <c r="A61" s="9"/>
      <c r="B61" s="9"/>
      <c r="C61" s="96"/>
      <c r="D61" s="31"/>
      <c r="E61" s="31"/>
      <c r="F61" s="31"/>
      <c r="G61" s="31"/>
      <c r="H61" s="31"/>
      <c r="I61" s="31"/>
      <c r="J61" s="31"/>
      <c r="K61" s="31"/>
      <c r="L61" s="33"/>
      <c r="M61" s="33"/>
      <c r="N61" s="33"/>
      <c r="O61" s="9"/>
      <c r="P61" s="9"/>
      <c r="Q61" s="59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ht="15.75" customHeight="1">
      <c r="A62" s="9"/>
      <c r="B62" s="9"/>
      <c r="C62" s="96"/>
      <c r="D62" s="31"/>
      <c r="E62" s="31"/>
      <c r="F62" s="31"/>
      <c r="G62" s="31"/>
      <c r="H62" s="31"/>
      <c r="I62" s="31"/>
      <c r="J62" s="31"/>
      <c r="K62" s="31"/>
      <c r="L62" s="33"/>
      <c r="M62" s="33"/>
      <c r="N62" s="33"/>
      <c r="O62" s="9"/>
      <c r="P62" s="9"/>
      <c r="Q62" s="59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ht="15.75" customHeight="1">
      <c r="A63" s="9"/>
      <c r="B63" s="9"/>
      <c r="C63" s="96"/>
      <c r="D63" s="31"/>
      <c r="E63" s="31"/>
      <c r="F63" s="31"/>
      <c r="G63" s="31"/>
      <c r="H63" s="31"/>
      <c r="I63" s="31"/>
      <c r="J63" s="31"/>
      <c r="K63" s="31"/>
      <c r="L63" s="33"/>
      <c r="M63" s="33"/>
      <c r="N63" s="33"/>
      <c r="O63" s="9"/>
      <c r="P63" s="9"/>
      <c r="Q63" s="59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ht="15.75" customHeight="1">
      <c r="A64" s="9"/>
      <c r="B64" s="9"/>
      <c r="C64" s="96"/>
      <c r="D64" s="31"/>
      <c r="E64" s="31"/>
      <c r="F64" s="31"/>
      <c r="G64" s="31"/>
      <c r="H64" s="31"/>
      <c r="I64" s="31"/>
      <c r="J64" s="31"/>
      <c r="K64" s="31"/>
      <c r="L64" s="33"/>
      <c r="M64" s="33"/>
      <c r="N64" s="33"/>
      <c r="O64" s="9"/>
      <c r="P64" s="9"/>
      <c r="Q64" s="59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ht="15.75" customHeight="1">
      <c r="A65" s="9"/>
      <c r="B65" s="9"/>
      <c r="C65" s="96"/>
      <c r="D65" s="31"/>
      <c r="E65" s="31"/>
      <c r="F65" s="31"/>
      <c r="G65" s="31"/>
      <c r="H65" s="31"/>
      <c r="I65" s="31"/>
      <c r="J65" s="31"/>
      <c r="K65" s="31"/>
      <c r="L65" s="33"/>
      <c r="M65" s="33"/>
      <c r="N65" s="33"/>
      <c r="O65" s="9"/>
      <c r="P65" s="9"/>
      <c r="Q65" s="59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ht="15.75" customHeight="1">
      <c r="A66" s="9"/>
      <c r="B66" s="9"/>
      <c r="C66" s="96"/>
      <c r="D66" s="31"/>
      <c r="E66" s="31"/>
      <c r="F66" s="31"/>
      <c r="G66" s="31"/>
      <c r="H66" s="31"/>
      <c r="I66" s="31"/>
      <c r="J66" s="31"/>
      <c r="K66" s="31"/>
      <c r="L66" s="33"/>
      <c r="M66" s="33"/>
      <c r="N66" s="33"/>
      <c r="O66" s="9"/>
      <c r="P66" s="9"/>
      <c r="Q66" s="59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ht="15.75" customHeight="1">
      <c r="A67" s="9"/>
      <c r="B67" s="9"/>
      <c r="C67" s="96"/>
      <c r="D67" s="31"/>
      <c r="E67" s="31"/>
      <c r="F67" s="31"/>
      <c r="G67" s="31"/>
      <c r="H67" s="31"/>
      <c r="I67" s="31"/>
      <c r="J67" s="31"/>
      <c r="K67" s="31"/>
      <c r="L67" s="33"/>
      <c r="M67" s="33"/>
      <c r="N67" s="33"/>
      <c r="O67" s="9"/>
      <c r="P67" s="9"/>
      <c r="Q67" s="59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ht="15.75" customHeight="1">
      <c r="A68" s="9"/>
      <c r="B68" s="9"/>
      <c r="C68" s="96"/>
      <c r="D68" s="31"/>
      <c r="E68" s="31"/>
      <c r="F68" s="31"/>
      <c r="G68" s="31"/>
      <c r="H68" s="31"/>
      <c r="I68" s="31"/>
      <c r="J68" s="31"/>
      <c r="K68" s="31"/>
      <c r="L68" s="33"/>
      <c r="M68" s="33"/>
      <c r="N68" s="33"/>
      <c r="O68" s="9"/>
      <c r="P68" s="9"/>
      <c r="Q68" s="59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ht="15.75" customHeight="1">
      <c r="A69" s="9"/>
      <c r="B69" s="9"/>
      <c r="C69" s="96"/>
      <c r="D69" s="31"/>
      <c r="E69" s="31"/>
      <c r="F69" s="31"/>
      <c r="G69" s="31"/>
      <c r="H69" s="31"/>
      <c r="I69" s="31"/>
      <c r="J69" s="31"/>
      <c r="K69" s="31"/>
      <c r="L69" s="33"/>
      <c r="M69" s="33"/>
      <c r="N69" s="33"/>
      <c r="O69" s="9"/>
      <c r="P69" s="9"/>
      <c r="Q69" s="59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ht="15.75" customHeight="1">
      <c r="A70" s="9"/>
      <c r="B70" s="9"/>
      <c r="C70" s="96"/>
      <c r="D70" s="31"/>
      <c r="E70" s="31"/>
      <c r="F70" s="31"/>
      <c r="G70" s="31"/>
      <c r="H70" s="31"/>
      <c r="I70" s="31"/>
      <c r="J70" s="31"/>
      <c r="K70" s="31"/>
      <c r="L70" s="33"/>
      <c r="M70" s="33"/>
      <c r="N70" s="33"/>
      <c r="O70" s="9"/>
      <c r="P70" s="9"/>
      <c r="Q70" s="59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ht="15.75" customHeight="1">
      <c r="A71" s="9"/>
      <c r="B71" s="9"/>
      <c r="C71" s="96"/>
      <c r="D71" s="31"/>
      <c r="E71" s="31"/>
      <c r="F71" s="31"/>
      <c r="G71" s="31"/>
      <c r="H71" s="31"/>
      <c r="I71" s="31"/>
      <c r="J71" s="31"/>
      <c r="K71" s="31"/>
      <c r="L71" s="33"/>
      <c r="M71" s="33"/>
      <c r="N71" s="33"/>
      <c r="O71" s="9"/>
      <c r="P71" s="9"/>
      <c r="Q71" s="59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ht="15.75" customHeight="1">
      <c r="A72" s="9"/>
      <c r="B72" s="9"/>
      <c r="C72" s="96"/>
      <c r="D72" s="31"/>
      <c r="E72" s="31"/>
      <c r="F72" s="31"/>
      <c r="G72" s="31"/>
      <c r="H72" s="31"/>
      <c r="I72" s="31"/>
      <c r="J72" s="31"/>
      <c r="K72" s="31"/>
      <c r="L72" s="33"/>
      <c r="M72" s="33"/>
      <c r="N72" s="33"/>
      <c r="O72" s="9"/>
      <c r="P72" s="9"/>
      <c r="Q72" s="59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ht="15.75" customHeight="1">
      <c r="A73" s="9"/>
      <c r="B73" s="9"/>
      <c r="C73" s="96"/>
      <c r="D73" s="31"/>
      <c r="E73" s="31"/>
      <c r="F73" s="31"/>
      <c r="G73" s="31"/>
      <c r="H73" s="31"/>
      <c r="I73" s="31"/>
      <c r="J73" s="31"/>
      <c r="K73" s="31"/>
      <c r="L73" s="33"/>
      <c r="M73" s="33"/>
      <c r="N73" s="33"/>
      <c r="O73" s="9"/>
      <c r="P73" s="9"/>
      <c r="Q73" s="59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ht="15.75" customHeight="1">
      <c r="A74" s="9"/>
      <c r="B74" s="9"/>
      <c r="C74" s="96"/>
      <c r="D74" s="31"/>
      <c r="E74" s="31"/>
      <c r="F74" s="31"/>
      <c r="G74" s="31"/>
      <c r="H74" s="31"/>
      <c r="I74" s="31"/>
      <c r="J74" s="31"/>
      <c r="K74" s="31"/>
      <c r="L74" s="33"/>
      <c r="M74" s="33"/>
      <c r="N74" s="33"/>
      <c r="O74" s="9"/>
      <c r="P74" s="9"/>
      <c r="Q74" s="59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ht="15.75" customHeight="1">
      <c r="A75" s="9"/>
      <c r="B75" s="9"/>
      <c r="C75" s="96"/>
      <c r="D75" s="31"/>
      <c r="E75" s="31"/>
      <c r="F75" s="31"/>
      <c r="G75" s="31"/>
      <c r="H75" s="31"/>
      <c r="I75" s="31"/>
      <c r="J75" s="31"/>
      <c r="K75" s="31"/>
      <c r="L75" s="33"/>
      <c r="M75" s="33"/>
      <c r="N75" s="33"/>
      <c r="O75" s="9"/>
      <c r="P75" s="9"/>
      <c r="Q75" s="59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ht="15.75" customHeight="1">
      <c r="A76" s="9"/>
      <c r="B76" s="9"/>
      <c r="C76" s="96"/>
      <c r="D76" s="31"/>
      <c r="E76" s="31"/>
      <c r="F76" s="31"/>
      <c r="G76" s="31"/>
      <c r="H76" s="31"/>
      <c r="I76" s="31"/>
      <c r="J76" s="31"/>
      <c r="K76" s="31"/>
      <c r="L76" s="33"/>
      <c r="M76" s="33"/>
      <c r="N76" s="33"/>
      <c r="O76" s="9"/>
      <c r="P76" s="9"/>
      <c r="Q76" s="59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ht="15.75" customHeight="1">
      <c r="A77" s="9"/>
      <c r="B77" s="9"/>
      <c r="C77" s="96"/>
      <c r="D77" s="31"/>
      <c r="E77" s="31"/>
      <c r="F77" s="31"/>
      <c r="G77" s="31"/>
      <c r="H77" s="31"/>
      <c r="I77" s="31"/>
      <c r="J77" s="31"/>
      <c r="K77" s="31"/>
      <c r="L77" s="33"/>
      <c r="M77" s="33"/>
      <c r="N77" s="33"/>
      <c r="O77" s="9"/>
      <c r="P77" s="9"/>
      <c r="Q77" s="59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ht="15.75" customHeight="1">
      <c r="A78" s="9"/>
      <c r="B78" s="9"/>
      <c r="C78" s="96"/>
      <c r="D78" s="31"/>
      <c r="E78" s="31"/>
      <c r="F78" s="31"/>
      <c r="G78" s="31"/>
      <c r="H78" s="31"/>
      <c r="I78" s="31"/>
      <c r="J78" s="31"/>
      <c r="K78" s="31"/>
      <c r="L78" s="33"/>
      <c r="M78" s="33"/>
      <c r="N78" s="33"/>
      <c r="O78" s="9"/>
      <c r="P78" s="9"/>
      <c r="Q78" s="59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ht="15.75" customHeight="1">
      <c r="A79" s="9"/>
      <c r="B79" s="9"/>
      <c r="C79" s="96"/>
      <c r="D79" s="31"/>
      <c r="E79" s="31"/>
      <c r="F79" s="31"/>
      <c r="G79" s="31"/>
      <c r="H79" s="31"/>
      <c r="I79" s="31"/>
      <c r="J79" s="31"/>
      <c r="K79" s="31"/>
      <c r="L79" s="33"/>
      <c r="M79" s="33"/>
      <c r="N79" s="33"/>
      <c r="O79" s="9"/>
      <c r="P79" s="9"/>
      <c r="Q79" s="59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ht="15.75" customHeight="1">
      <c r="A80" s="9"/>
      <c r="B80" s="9"/>
      <c r="C80" s="96"/>
      <c r="D80" s="31"/>
      <c r="E80" s="31"/>
      <c r="F80" s="31"/>
      <c r="G80" s="31"/>
      <c r="H80" s="31"/>
      <c r="I80" s="31"/>
      <c r="J80" s="31"/>
      <c r="K80" s="31"/>
      <c r="L80" s="33"/>
      <c r="M80" s="33"/>
      <c r="N80" s="33"/>
      <c r="O80" s="9"/>
      <c r="P80" s="9"/>
      <c r="Q80" s="59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ht="15.75" customHeight="1">
      <c r="A81" s="9"/>
      <c r="B81" s="9"/>
      <c r="C81" s="96"/>
      <c r="D81" s="31"/>
      <c r="E81" s="31"/>
      <c r="F81" s="31"/>
      <c r="G81" s="31"/>
      <c r="H81" s="31"/>
      <c r="I81" s="31"/>
      <c r="J81" s="31"/>
      <c r="K81" s="31"/>
      <c r="L81" s="33"/>
      <c r="M81" s="33"/>
      <c r="N81" s="33"/>
      <c r="O81" s="9"/>
      <c r="P81" s="9"/>
      <c r="Q81" s="59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ht="15.75" customHeight="1">
      <c r="A82" s="9"/>
      <c r="B82" s="9"/>
      <c r="C82" s="96"/>
      <c r="D82" s="31"/>
      <c r="E82" s="31"/>
      <c r="F82" s="31"/>
      <c r="G82" s="31"/>
      <c r="H82" s="31"/>
      <c r="I82" s="31"/>
      <c r="J82" s="31"/>
      <c r="K82" s="31"/>
      <c r="L82" s="33"/>
      <c r="M82" s="33"/>
      <c r="N82" s="33"/>
      <c r="O82" s="9"/>
      <c r="P82" s="9"/>
      <c r="Q82" s="59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ht="15.75" customHeight="1">
      <c r="A83" s="9"/>
      <c r="B83" s="9"/>
      <c r="C83" s="96"/>
      <c r="D83" s="31"/>
      <c r="E83" s="31"/>
      <c r="F83" s="31"/>
      <c r="G83" s="31"/>
      <c r="H83" s="31"/>
      <c r="I83" s="31"/>
      <c r="J83" s="31"/>
      <c r="K83" s="31"/>
      <c r="L83" s="33"/>
      <c r="M83" s="33"/>
      <c r="N83" s="33"/>
      <c r="O83" s="9"/>
      <c r="P83" s="9"/>
      <c r="Q83" s="59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ht="15.75" customHeight="1">
      <c r="A84" s="9"/>
      <c r="B84" s="9"/>
      <c r="C84" s="96"/>
      <c r="D84" s="31"/>
      <c r="E84" s="31"/>
      <c r="F84" s="31"/>
      <c r="G84" s="31"/>
      <c r="H84" s="31"/>
      <c r="I84" s="31"/>
      <c r="J84" s="31"/>
      <c r="K84" s="31"/>
      <c r="L84" s="33"/>
      <c r="M84" s="33"/>
      <c r="N84" s="33"/>
      <c r="O84" s="9"/>
      <c r="P84" s="9"/>
      <c r="Q84" s="59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ht="15.75" customHeight="1">
      <c r="A85" s="9"/>
      <c r="B85" s="9"/>
      <c r="C85" s="96"/>
      <c r="D85" s="31"/>
      <c r="E85" s="31"/>
      <c r="F85" s="31"/>
      <c r="G85" s="31"/>
      <c r="H85" s="31"/>
      <c r="I85" s="31"/>
      <c r="J85" s="31"/>
      <c r="K85" s="31"/>
      <c r="L85" s="33"/>
      <c r="M85" s="33"/>
      <c r="N85" s="33"/>
      <c r="O85" s="9"/>
      <c r="P85" s="9"/>
      <c r="Q85" s="59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ht="15.75" customHeight="1">
      <c r="A86" s="9"/>
      <c r="B86" s="9"/>
      <c r="C86" s="96"/>
      <c r="D86" s="31"/>
      <c r="E86" s="31"/>
      <c r="F86" s="31"/>
      <c r="G86" s="31"/>
      <c r="H86" s="31"/>
      <c r="I86" s="31"/>
      <c r="J86" s="31"/>
      <c r="K86" s="31"/>
      <c r="L86" s="33"/>
      <c r="M86" s="33"/>
      <c r="N86" s="33"/>
      <c r="O86" s="9"/>
      <c r="P86" s="9"/>
      <c r="Q86" s="59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ht="15.75" customHeight="1">
      <c r="A87" s="9"/>
      <c r="B87" s="9"/>
      <c r="C87" s="96"/>
      <c r="D87" s="31"/>
      <c r="E87" s="31"/>
      <c r="F87" s="31"/>
      <c r="G87" s="31"/>
      <c r="H87" s="31"/>
      <c r="I87" s="31"/>
      <c r="J87" s="31"/>
      <c r="K87" s="31"/>
      <c r="L87" s="33"/>
      <c r="M87" s="33"/>
      <c r="N87" s="33"/>
      <c r="O87" s="9"/>
      <c r="P87" s="9"/>
      <c r="Q87" s="59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ht="15.75" customHeight="1">
      <c r="A88" s="9"/>
      <c r="B88" s="9"/>
      <c r="C88" s="96"/>
      <c r="D88" s="31"/>
      <c r="E88" s="31"/>
      <c r="F88" s="31"/>
      <c r="G88" s="31"/>
      <c r="H88" s="31"/>
      <c r="I88" s="31"/>
      <c r="J88" s="31"/>
      <c r="K88" s="31"/>
      <c r="L88" s="33"/>
      <c r="M88" s="33"/>
      <c r="N88" s="33"/>
      <c r="O88" s="9"/>
      <c r="P88" s="9"/>
      <c r="Q88" s="59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ht="15.75" customHeight="1">
      <c r="A89" s="9"/>
      <c r="B89" s="9"/>
      <c r="C89" s="96"/>
      <c r="D89" s="31"/>
      <c r="E89" s="31"/>
      <c r="F89" s="31"/>
      <c r="G89" s="31"/>
      <c r="H89" s="31"/>
      <c r="I89" s="31"/>
      <c r="J89" s="31"/>
      <c r="K89" s="31"/>
      <c r="L89" s="33"/>
      <c r="M89" s="33"/>
      <c r="N89" s="33"/>
      <c r="O89" s="9"/>
      <c r="P89" s="9"/>
      <c r="Q89" s="59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</row>
    <row r="90" spans="1:49" ht="15.75" customHeight="1">
      <c r="A90" s="9"/>
      <c r="B90" s="9"/>
      <c r="C90" s="96"/>
      <c r="D90" s="31"/>
      <c r="E90" s="31"/>
      <c r="F90" s="31"/>
      <c r="G90" s="31"/>
      <c r="H90" s="31"/>
      <c r="I90" s="31"/>
      <c r="J90" s="31"/>
      <c r="K90" s="31"/>
      <c r="L90" s="33"/>
      <c r="M90" s="33"/>
      <c r="N90" s="33"/>
      <c r="O90" s="9"/>
      <c r="P90" s="9"/>
      <c r="Q90" s="59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ht="15.75" customHeight="1">
      <c r="A91" s="9"/>
      <c r="B91" s="9"/>
      <c r="C91" s="96"/>
      <c r="D91" s="31"/>
      <c r="E91" s="31"/>
      <c r="F91" s="31"/>
      <c r="G91" s="31"/>
      <c r="H91" s="31"/>
      <c r="I91" s="31"/>
      <c r="J91" s="31"/>
      <c r="K91" s="31"/>
      <c r="L91" s="33"/>
      <c r="M91" s="33"/>
      <c r="N91" s="33"/>
      <c r="O91" s="9"/>
      <c r="P91" s="9"/>
      <c r="Q91" s="59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ht="15.75" customHeight="1">
      <c r="A92" s="9"/>
      <c r="B92" s="9"/>
      <c r="C92" s="96"/>
      <c r="D92" s="31"/>
      <c r="E92" s="31"/>
      <c r="F92" s="31"/>
      <c r="G92" s="31"/>
      <c r="H92" s="31"/>
      <c r="I92" s="31"/>
      <c r="J92" s="31"/>
      <c r="K92" s="31"/>
      <c r="L92" s="33"/>
      <c r="M92" s="33"/>
      <c r="N92" s="33"/>
      <c r="O92" s="9"/>
      <c r="P92" s="9"/>
      <c r="Q92" s="59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ht="15.75" customHeight="1">
      <c r="A93" s="9"/>
      <c r="B93" s="9"/>
      <c r="C93" s="96"/>
      <c r="D93" s="31"/>
      <c r="E93" s="31"/>
      <c r="F93" s="31"/>
      <c r="G93" s="31"/>
      <c r="H93" s="31"/>
      <c r="I93" s="31"/>
      <c r="J93" s="31"/>
      <c r="K93" s="31"/>
      <c r="L93" s="33"/>
      <c r="M93" s="33"/>
      <c r="N93" s="33"/>
      <c r="O93" s="9"/>
      <c r="P93" s="9"/>
      <c r="Q93" s="59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ht="15.75" customHeight="1">
      <c r="A94" s="9"/>
      <c r="B94" s="9"/>
      <c r="C94" s="96"/>
      <c r="D94" s="31"/>
      <c r="E94" s="31"/>
      <c r="F94" s="31"/>
      <c r="G94" s="31"/>
      <c r="H94" s="31"/>
      <c r="I94" s="31"/>
      <c r="J94" s="31"/>
      <c r="K94" s="31"/>
      <c r="L94" s="33"/>
      <c r="M94" s="33"/>
      <c r="N94" s="33"/>
      <c r="O94" s="9"/>
      <c r="P94" s="9"/>
      <c r="Q94" s="59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ht="15.75" customHeight="1">
      <c r="A95" s="9"/>
      <c r="B95" s="9"/>
      <c r="C95" s="96"/>
      <c r="D95" s="31"/>
      <c r="E95" s="31"/>
      <c r="F95" s="31"/>
      <c r="G95" s="31"/>
      <c r="H95" s="31"/>
      <c r="I95" s="31"/>
      <c r="J95" s="31"/>
      <c r="K95" s="31"/>
      <c r="L95" s="33"/>
      <c r="M95" s="33"/>
      <c r="N95" s="33"/>
      <c r="O95" s="9"/>
      <c r="P95" s="9"/>
      <c r="Q95" s="59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ht="15.75" customHeight="1">
      <c r="A96" s="9"/>
      <c r="B96" s="9"/>
      <c r="C96" s="96"/>
      <c r="D96" s="31"/>
      <c r="E96" s="31"/>
      <c r="F96" s="31"/>
      <c r="G96" s="31"/>
      <c r="H96" s="31"/>
      <c r="I96" s="31"/>
      <c r="J96" s="31"/>
      <c r="K96" s="31"/>
      <c r="L96" s="33"/>
      <c r="M96" s="33"/>
      <c r="N96" s="33"/>
      <c r="O96" s="9"/>
      <c r="P96" s="9"/>
      <c r="Q96" s="59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spans="1:49" ht="15.75" customHeight="1">
      <c r="A97" s="9"/>
      <c r="B97" s="9"/>
      <c r="C97" s="96"/>
      <c r="D97" s="31"/>
      <c r="E97" s="31"/>
      <c r="F97" s="31"/>
      <c r="G97" s="31"/>
      <c r="H97" s="31"/>
      <c r="I97" s="31"/>
      <c r="J97" s="31"/>
      <c r="K97" s="31"/>
      <c r="L97" s="33"/>
      <c r="M97" s="33"/>
      <c r="N97" s="33"/>
      <c r="O97" s="9"/>
      <c r="P97" s="9"/>
      <c r="Q97" s="59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</row>
    <row r="98" spans="1:49" ht="15.75" customHeight="1">
      <c r="A98" s="9"/>
      <c r="B98" s="9"/>
      <c r="C98" s="96"/>
      <c r="D98" s="31"/>
      <c r="E98" s="31"/>
      <c r="F98" s="31"/>
      <c r="G98" s="31"/>
      <c r="H98" s="31"/>
      <c r="I98" s="31"/>
      <c r="J98" s="31"/>
      <c r="K98" s="31"/>
      <c r="L98" s="33"/>
      <c r="M98" s="33"/>
      <c r="N98" s="33"/>
      <c r="O98" s="9"/>
      <c r="P98" s="9"/>
      <c r="Q98" s="59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</row>
    <row r="99" spans="1:49" ht="15.75" customHeight="1">
      <c r="A99" s="9"/>
      <c r="B99" s="9"/>
      <c r="C99" s="96"/>
      <c r="D99" s="31"/>
      <c r="E99" s="31"/>
      <c r="F99" s="31"/>
      <c r="G99" s="31"/>
      <c r="H99" s="31"/>
      <c r="I99" s="31"/>
      <c r="J99" s="31"/>
      <c r="K99" s="31"/>
      <c r="L99" s="33"/>
      <c r="M99" s="33"/>
      <c r="N99" s="33"/>
      <c r="O99" s="9"/>
      <c r="P99" s="9"/>
      <c r="Q99" s="59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</row>
    <row r="100" spans="1:49" ht="15.75" customHeight="1">
      <c r="A100" s="9"/>
      <c r="B100" s="9"/>
      <c r="C100" s="96"/>
      <c r="D100" s="31"/>
      <c r="E100" s="31"/>
      <c r="F100" s="31"/>
      <c r="G100" s="31"/>
      <c r="H100" s="31"/>
      <c r="I100" s="31"/>
      <c r="J100" s="31"/>
      <c r="K100" s="31"/>
      <c r="L100" s="33"/>
      <c r="M100" s="33"/>
      <c r="N100" s="33"/>
      <c r="O100" s="9"/>
      <c r="P100" s="9"/>
      <c r="Q100" s="59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ht="15.75" customHeight="1">
      <c r="L101" s="33"/>
      <c r="M101" s="33"/>
      <c r="N101" s="33"/>
      <c r="O101" s="9"/>
      <c r="P101" s="9"/>
      <c r="Q101" s="59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ht="15.75" customHeight="1">
      <c r="N102" s="33"/>
      <c r="O102" s="9"/>
      <c r="P102" s="9"/>
      <c r="Q102" s="59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</row>
    <row r="103" spans="1:49" ht="15.75" customHeight="1">
      <c r="O103" s="9"/>
      <c r="P103" s="9"/>
      <c r="Q103" s="59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</row>
    <row r="104" spans="1:49" ht="15.75" customHeight="1">
      <c r="O104" s="9"/>
      <c r="P104" s="9"/>
      <c r="Q104" s="59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</row>
    <row r="105" spans="1:49" ht="15.75" customHeight="1">
      <c r="O105" s="9"/>
      <c r="P105" s="9"/>
      <c r="Q105" s="59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</row>
    <row r="106" spans="1:49" ht="15.75" customHeight="1">
      <c r="O106" s="9"/>
      <c r="P106" s="9"/>
      <c r="Q106" s="59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</row>
    <row r="107" spans="1:49" ht="15.75" customHeight="1">
      <c r="O107" s="9"/>
      <c r="P107" s="9"/>
      <c r="Q107" s="59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</row>
    <row r="108" spans="1:49" ht="15.75" customHeight="1">
      <c r="O108" s="9"/>
      <c r="P108" s="9"/>
      <c r="Q108" s="59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</row>
    <row r="109" spans="1:49" ht="15.75" customHeight="1">
      <c r="O109" s="9"/>
      <c r="P109" s="9"/>
      <c r="Q109" s="59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</row>
    <row r="110" spans="1:49" ht="15.75" customHeight="1">
      <c r="O110" s="9"/>
      <c r="P110" s="9"/>
      <c r="Q110" s="59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</row>
    <row r="111" spans="1:49" ht="15.75" customHeight="1">
      <c r="O111" s="9"/>
      <c r="P111" s="9"/>
      <c r="Q111" s="59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</row>
    <row r="112" spans="1:49" ht="15.75" customHeight="1">
      <c r="O112" s="9"/>
      <c r="P112" s="9"/>
      <c r="Q112" s="59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</row>
    <row r="113" spans="15:34" ht="15.75" customHeight="1">
      <c r="O113" s="9"/>
      <c r="P113" s="9"/>
      <c r="Q113" s="59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</row>
    <row r="114" spans="15:34" ht="15.75" customHeight="1">
      <c r="O114" s="9"/>
      <c r="P114" s="9"/>
      <c r="Q114" s="59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</row>
    <row r="115" spans="15:34" ht="15.75" customHeight="1">
      <c r="O115" s="9"/>
      <c r="P115" s="9"/>
      <c r="Q115" s="59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</row>
    <row r="116" spans="15:34" ht="15.75" customHeight="1">
      <c r="O116" s="9"/>
      <c r="P116" s="9"/>
      <c r="Q116" s="59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</row>
    <row r="117" spans="15:34" ht="15.75" customHeight="1">
      <c r="O117" s="9"/>
      <c r="P117" s="9"/>
      <c r="Q117" s="59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</row>
    <row r="118" spans="15:34" ht="15.75" customHeight="1"/>
    <row r="119" spans="15:34" ht="15.75" customHeight="1"/>
    <row r="120" spans="15:34" ht="15.75" customHeight="1"/>
    <row r="121" spans="15:34" ht="15.75" customHeight="1"/>
    <row r="122" spans="15:34" ht="15.75" customHeight="1"/>
    <row r="123" spans="15:34" ht="15.75" customHeight="1"/>
    <row r="124" spans="15:34" ht="15.75" customHeight="1"/>
    <row r="125" spans="15:34" ht="15.75" customHeight="1"/>
    <row r="126" spans="15:34" ht="15.75" customHeight="1"/>
    <row r="127" spans="15:34" ht="15.75" customHeight="1"/>
    <row r="128" spans="15:34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O1:P4"/>
    <mergeCell ref="B6:H6"/>
    <mergeCell ref="B7:H7"/>
    <mergeCell ref="B18:E18"/>
    <mergeCell ref="B22:E22"/>
    <mergeCell ref="G22:I22"/>
    <mergeCell ref="B17:E17"/>
    <mergeCell ref="H1:L1"/>
    <mergeCell ref="H2:L2"/>
    <mergeCell ref="H3:L3"/>
    <mergeCell ref="A3:F3"/>
    <mergeCell ref="A2:F2"/>
    <mergeCell ref="A1:F1"/>
    <mergeCell ref="A4:F4"/>
    <mergeCell ref="J17:K21"/>
  </mergeCells>
  <pageMargins left="0.31496062992125984" right="0.31496062992125984" top="0.31496062992125984" bottom="0.31496062992125984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 macro="[0]!Spinner2_Chang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14</xdr:col>
                    <xdr:colOff>7620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HD921"/>
  <sheetViews>
    <sheetView zoomScale="130" zoomScaleNormal="13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B15" sqref="B15:B16"/>
    </sheetView>
  </sheetViews>
  <sheetFormatPr defaultColWidth="11.19921875" defaultRowHeight="15" customHeight="1"/>
  <cols>
    <col min="1" max="1" width="7" customWidth="1"/>
    <col min="2" max="2" width="14.59765625" customWidth="1"/>
    <col min="3" max="3" width="6.69921875" customWidth="1"/>
    <col min="4" max="4" width="4.69921875" customWidth="1"/>
    <col min="5" max="5" width="10.5" customWidth="1"/>
    <col min="6" max="17" width="8.59765625" customWidth="1"/>
    <col min="18" max="19" width="2.3984375" bestFit="1" customWidth="1"/>
    <col min="20" max="23" width="6.69921875" customWidth="1"/>
    <col min="24" max="24" width="7.5" bestFit="1" customWidth="1"/>
    <col min="25" max="25" width="7.09765625" bestFit="1" customWidth="1"/>
    <col min="26" max="26" width="7.5" bestFit="1" customWidth="1"/>
    <col min="27" max="28" width="5.3984375" customWidth="1"/>
    <col min="29" max="29" width="3.8984375" bestFit="1" customWidth="1"/>
    <col min="30" max="30" width="4" bestFit="1" customWidth="1"/>
    <col min="31" max="31" width="4.09765625" bestFit="1" customWidth="1"/>
    <col min="32" max="32" width="3.19921875" customWidth="1"/>
    <col min="33" max="33" width="3.8984375" bestFit="1" customWidth="1"/>
    <col min="34" max="34" width="20.8984375" bestFit="1" customWidth="1"/>
    <col min="35" max="35" width="4.19921875" customWidth="1"/>
    <col min="36" max="47" width="9.3984375" customWidth="1"/>
    <col min="48" max="48" width="10.3984375" customWidth="1"/>
    <col min="49" max="58" width="6.5" bestFit="1" customWidth="1"/>
    <col min="59" max="61" width="7.3984375" bestFit="1" customWidth="1"/>
    <col min="62" max="62" width="3.59765625" bestFit="1" customWidth="1"/>
    <col min="63" max="72" width="6.5" bestFit="1" customWidth="1"/>
    <col min="73" max="75" width="7.3984375" bestFit="1" customWidth="1"/>
    <col min="76" max="76" width="4.5" bestFit="1" customWidth="1"/>
    <col min="77" max="85" width="6.5" bestFit="1" customWidth="1"/>
    <col min="86" max="88" width="7.3984375" bestFit="1" customWidth="1"/>
    <col min="89" max="89" width="4.5" bestFit="1" customWidth="1"/>
    <col min="90" max="98" width="6.5" bestFit="1" customWidth="1"/>
    <col min="99" max="101" width="7.3984375" bestFit="1" customWidth="1"/>
    <col min="102" max="102" width="3.59765625" bestFit="1" customWidth="1"/>
    <col min="103" max="111" width="6.5" bestFit="1" customWidth="1"/>
    <col min="112" max="114" width="7.3984375" bestFit="1" customWidth="1"/>
    <col min="115" max="115" width="3.59765625" bestFit="1" customWidth="1"/>
    <col min="116" max="124" width="6.5" bestFit="1" customWidth="1"/>
    <col min="125" max="127" width="7.3984375" bestFit="1" customWidth="1"/>
    <col min="128" max="128" width="4.5" bestFit="1" customWidth="1"/>
    <col min="129" max="137" width="6.5" bestFit="1" customWidth="1"/>
    <col min="138" max="140" width="7.3984375" bestFit="1" customWidth="1"/>
    <col min="141" max="141" width="4.5" bestFit="1" customWidth="1"/>
    <col min="142" max="150" width="6.5" bestFit="1" customWidth="1"/>
    <col min="151" max="153" width="7.3984375" bestFit="1" customWidth="1"/>
    <col min="154" max="154" width="4.5" bestFit="1" customWidth="1"/>
    <col min="155" max="163" width="6.5" bestFit="1" customWidth="1"/>
    <col min="164" max="166" width="7.3984375" bestFit="1" customWidth="1"/>
    <col min="167" max="167" width="4.5" bestFit="1" customWidth="1"/>
    <col min="168" max="179" width="8.59765625" bestFit="1" customWidth="1"/>
    <col min="180" max="180" width="4.5" bestFit="1" customWidth="1"/>
    <col min="181" max="192" width="7.69921875" bestFit="1" customWidth="1"/>
    <col min="193" max="193" width="4.5" bestFit="1" customWidth="1"/>
    <col min="194" max="205" width="7.69921875" bestFit="1" customWidth="1"/>
    <col min="206" max="206" width="6.8984375" customWidth="1"/>
  </cols>
  <sheetData>
    <row r="1" spans="1:212" ht="17.25" hidden="1" customHeight="1">
      <c r="A1" s="571">
        <f>ROW(A9)</f>
        <v>9</v>
      </c>
      <c r="B1" s="572"/>
      <c r="C1" s="573"/>
      <c r="D1" s="70"/>
      <c r="E1" s="573"/>
      <c r="F1" s="574"/>
      <c r="G1" s="575"/>
      <c r="H1" s="576"/>
      <c r="I1" s="576"/>
      <c r="J1" s="576"/>
      <c r="K1" s="576"/>
      <c r="L1" s="577"/>
      <c r="M1" s="578"/>
      <c r="N1" s="578"/>
      <c r="O1" s="578"/>
      <c r="P1" s="578"/>
      <c r="Q1" s="578"/>
      <c r="R1" s="578"/>
      <c r="S1" s="578"/>
      <c r="T1" s="578"/>
      <c r="U1" s="578"/>
      <c r="V1" s="578"/>
      <c r="W1" s="578"/>
      <c r="X1" s="578"/>
      <c r="Y1" s="578"/>
      <c r="Z1" s="71"/>
      <c r="AA1" s="71"/>
      <c r="AB1" s="71"/>
    </row>
    <row r="2" spans="1:212" ht="17.25" hidden="1" customHeight="1">
      <c r="A2" s="571">
        <f ca="1">COUNTA(INDIRECT(ADDRESS(A1,1)&amp;":"&amp;ADDRESS(65536,1)))</f>
        <v>163</v>
      </c>
      <c r="B2" s="572"/>
      <c r="C2" s="573"/>
      <c r="D2" s="70"/>
      <c r="E2" s="573"/>
      <c r="F2" s="574"/>
      <c r="G2" s="575"/>
      <c r="H2" s="576"/>
      <c r="I2" s="576"/>
      <c r="J2" s="576"/>
      <c r="K2" s="576"/>
      <c r="L2" s="577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578"/>
      <c r="X2" s="578"/>
      <c r="Y2" s="578"/>
      <c r="Z2" s="71"/>
      <c r="AA2" s="71"/>
      <c r="AB2" s="71"/>
    </row>
    <row r="3" spans="1:212" ht="17.25" hidden="1" customHeight="1">
      <c r="A3" s="571">
        <f ca="1">A1+A2-1</f>
        <v>171</v>
      </c>
      <c r="B3" s="572"/>
      <c r="C3" s="573"/>
      <c r="D3" s="70"/>
      <c r="E3" s="573"/>
      <c r="F3" s="574"/>
      <c r="G3" s="575"/>
      <c r="H3" s="576"/>
      <c r="I3" s="576"/>
      <c r="J3" s="576"/>
      <c r="K3" s="576"/>
      <c r="L3" s="577"/>
      <c r="M3" s="578"/>
      <c r="N3" s="578"/>
      <c r="O3" s="578"/>
      <c r="P3" s="578"/>
      <c r="Q3" s="578"/>
      <c r="R3" s="578"/>
      <c r="S3" s="578"/>
      <c r="T3" s="578"/>
      <c r="U3" s="578"/>
      <c r="V3" s="578"/>
      <c r="W3" s="578"/>
      <c r="X3" s="578"/>
      <c r="Y3" s="578"/>
      <c r="Z3" s="71"/>
      <c r="AA3" s="71"/>
      <c r="AB3" s="71"/>
    </row>
    <row r="4" spans="1:212" ht="17.25" hidden="1" customHeight="1">
      <c r="A4" s="579" t="str">
        <f ca="1">"DATA!"&amp;ADDRESS($A$1,1)&amp;":"&amp;ADDRESS(DATA!CT_MTD,210)</f>
        <v>DATA!$A$9:$HB$171</v>
      </c>
      <c r="B4" s="572"/>
      <c r="C4" s="573"/>
      <c r="D4" s="70"/>
      <c r="E4" s="573"/>
      <c r="F4" s="574"/>
      <c r="G4" s="575"/>
      <c r="H4" s="576"/>
      <c r="I4" s="576"/>
      <c r="J4" s="576"/>
      <c r="K4" s="576"/>
      <c r="L4" s="577"/>
      <c r="M4" s="578"/>
      <c r="N4" s="578"/>
      <c r="O4" s="578"/>
      <c r="P4" s="578"/>
      <c r="Q4" s="578"/>
      <c r="R4" s="578"/>
      <c r="S4" s="578"/>
      <c r="T4" s="578"/>
      <c r="U4" s="578"/>
      <c r="V4" s="578"/>
      <c r="W4" s="578"/>
      <c r="X4" s="578"/>
      <c r="Y4" s="578"/>
      <c r="Z4" s="71"/>
      <c r="AA4" s="71"/>
      <c r="AB4" s="71"/>
    </row>
    <row r="5" spans="1:212" ht="17.25" hidden="1" customHeight="1">
      <c r="A5" s="580" t="str">
        <f ca="1">"DATA!"&amp;ADDRESS($A$1,COLUMN())&amp;":"&amp;ADDRESS(DATA!CT_MTD,COLUMN())</f>
        <v>DATA!$A$9:$A$171</v>
      </c>
      <c r="B5" s="581" t="str">
        <f ca="1">"DATA!"&amp;ADDRESS($A$1,COLUMN())&amp;":"&amp;ADDRESS(DATA!CT_MTD,COLUMN())</f>
        <v>DATA!$B$9:$B$171</v>
      </c>
      <c r="C5" s="581" t="str">
        <f ca="1">"DATA!"&amp;ADDRESS($A$1,COLUMN())&amp;":"&amp;ADDRESS(DATA!CT_MTD,COLUMN())</f>
        <v>DATA!$C$9:$C$171</v>
      </c>
      <c r="D5" s="582" t="str">
        <f ca="1">"DATA!"&amp;ADDRESS($A$1,COLUMN())&amp;":"&amp;ADDRESS(DATA!CT_MTD,COLUMN())</f>
        <v>DATA!$D$9:$D$171</v>
      </c>
      <c r="E5" s="581" t="str">
        <f ca="1">"DATA!"&amp;ADDRESS($A$1,COLUMN())&amp;":"&amp;ADDRESS(DATA!CT_MTD,COLUMN())</f>
        <v>DATA!$E$9:$E$171</v>
      </c>
      <c r="F5" s="580" t="str">
        <f ca="1">"DATA!"&amp;ADDRESS($A$1,COLUMN())&amp;":"&amp;ADDRESS(DATA!CT_MTD,COLUMN())</f>
        <v>DATA!$F$9:$F$171</v>
      </c>
      <c r="G5" s="583" t="str">
        <f ca="1">"DATA!"&amp;ADDRESS($A$1,COLUMN())&amp;":"&amp;ADDRESS(DATA!CT_MTD,COLUMN())</f>
        <v>DATA!$G$9:$G$171</v>
      </c>
      <c r="H5" s="580" t="str">
        <f ca="1">"DATA!"&amp;ADDRESS($A$1,COLUMN())&amp;":"&amp;ADDRESS(DATA!CT_MTD,COLUMN())</f>
        <v>DATA!$H$9:$H$171</v>
      </c>
      <c r="I5" s="580" t="str">
        <f ca="1">"DATA!"&amp;ADDRESS($A$1,COLUMN())&amp;":"&amp;ADDRESS(DATA!CT_MTD,COLUMN())</f>
        <v>DATA!$I$9:$I$171</v>
      </c>
      <c r="J5" s="580" t="str">
        <f ca="1">"DATA!"&amp;ADDRESS($A$1,COLUMN())&amp;":"&amp;ADDRESS(DATA!CT_MTD,COLUMN())</f>
        <v>DATA!$J$9:$J$171</v>
      </c>
      <c r="K5" s="580" t="str">
        <f ca="1">"DATA!"&amp;ADDRESS($A$1,COLUMN())&amp;":"&amp;ADDRESS(DATA!CT_MTD,COLUMN())</f>
        <v>DATA!$K$9:$K$171</v>
      </c>
      <c r="L5" s="580" t="str">
        <f ca="1">"DATA!"&amp;ADDRESS($A$1,COLUMN())&amp;":"&amp;ADDRESS(DATA!CT_MTD,COLUMN())</f>
        <v>DATA!$L$9:$L$171</v>
      </c>
      <c r="M5" s="584" t="str">
        <f ca="1">"DATA!"&amp;ADDRESS($A$1,COLUMN())&amp;":"&amp;ADDRESS(DATA!CT_MTD,COLUMN())</f>
        <v>DATA!$M$9:$M$171</v>
      </c>
      <c r="N5" s="584" t="str">
        <f ca="1">"DATA!"&amp;ADDRESS($A$1,COLUMN())&amp;":"&amp;ADDRESS(DATA!CT_MTD,COLUMN())</f>
        <v>DATA!$N$9:$N$171</v>
      </c>
      <c r="O5" s="584" t="str">
        <f ca="1">"DATA!"&amp;ADDRESS($A$1,COLUMN())&amp;":"&amp;ADDRESS(DATA!CT_MTD,COLUMN())</f>
        <v>DATA!$O$9:$O$171</v>
      </c>
      <c r="P5" s="584" t="str">
        <f ca="1">"DATA!"&amp;ADDRESS($A$1,COLUMN())&amp;":"&amp;ADDRESS(DATA!CT_MTD,COLUMN())</f>
        <v>DATA!$P$9:$P$171</v>
      </c>
      <c r="Q5" s="584" t="str">
        <f ca="1">"DATA!"&amp;ADDRESS($A$1,COLUMN())&amp;":"&amp;ADDRESS(DATA!CT_MTD,COLUMN())</f>
        <v>DATA!$Q$9:$Q$171</v>
      </c>
      <c r="R5" s="584"/>
      <c r="S5" s="584"/>
      <c r="T5" s="584" t="str">
        <f ca="1">"DATA!"&amp;ADDRESS($A$1,COLUMN())&amp;":"&amp;ADDRESS(DATA!CT_MTD,COLUMN())</f>
        <v>DATA!$T$9:$T$171</v>
      </c>
      <c r="U5" s="584" t="str">
        <f ca="1">"DATA!"&amp;ADDRESS($A$1,COLUMN())&amp;":"&amp;ADDRESS(DATA!CT_MTD,COLUMN())</f>
        <v>DATA!$U$9:$U$171</v>
      </c>
      <c r="V5" s="584" t="str">
        <f ca="1">"DATA!"&amp;ADDRESS($A$1,COLUMN())&amp;":"&amp;ADDRESS(DATA!CT_MTD,COLUMN())</f>
        <v>DATA!$V$9:$V$171</v>
      </c>
      <c r="W5" s="584" t="str">
        <f ca="1">"DATA!"&amp;ADDRESS($A$1,COLUMN())&amp;":"&amp;ADDRESS(DATA!CT_MTD,COLUMN())</f>
        <v>DATA!$W$9:$W$171</v>
      </c>
      <c r="X5" s="584" t="str">
        <f ca="1">"DATA!"&amp;ADDRESS($A$1,COLUMN())&amp;":"&amp;ADDRESS(DATA!CT_MTD,COLUMN())</f>
        <v>DATA!$X$9:$X$171</v>
      </c>
      <c r="Y5" s="584" t="str">
        <f ca="1">"DATA!"&amp;ADDRESS($A$1,COLUMN())&amp;":"&amp;ADDRESS(DATA!CT_MTD,COLUMN())</f>
        <v>DATA!$Y$9:$Y$171</v>
      </c>
      <c r="Z5" s="584" t="str">
        <f ca="1">"DATA!"&amp;ADDRESS($A$1,COLUMN())&amp;":"&amp;ADDRESS(DATA!CT_MTD,COLUMN())</f>
        <v>DATA!$Z$9:$Z$171</v>
      </c>
      <c r="AA5" s="584" t="str">
        <f ca="1">"DATA!"&amp;ADDRESS($A$1,COLUMN())&amp;":"&amp;ADDRESS(DATA!CT_MTD,COLUMN())</f>
        <v>DATA!$AA$9:$AA$171</v>
      </c>
      <c r="AB5" s="584" t="str">
        <f ca="1">"DATA!"&amp;ADDRESS($A$1,COLUMN())&amp;":"&amp;ADDRESS(DATA!CT_MTD,COLUMN())</f>
        <v>DATA!$AB$9:$AB$171</v>
      </c>
      <c r="AC5" s="584" t="str">
        <f ca="1">"DATA!"&amp;ADDRESS($A$1,COLUMN())&amp;":"&amp;ADDRESS(DATA!CT_MTD,COLUMN())</f>
        <v>DATA!$AC$9:$AC$171</v>
      </c>
      <c r="AD5" s="584" t="str">
        <f ca="1">"DATA!"&amp;ADDRESS($A$1,COLUMN())&amp;":"&amp;ADDRESS(DATA!CT_MTD,COLUMN())</f>
        <v>DATA!$AD$9:$AD$171</v>
      </c>
      <c r="AE5" s="584" t="str">
        <f ca="1">"DATA!"&amp;ADDRESS($A$1,COLUMN())&amp;":"&amp;ADDRESS(DATA!CT_MTD,COLUMN())</f>
        <v>DATA!$AE$9:$AE$171</v>
      </c>
      <c r="AF5" s="584" t="str">
        <f ca="1">"DATA!"&amp;ADDRESS($A$1,COLUMN())&amp;":"&amp;ADDRESS(DATA!CT_MTD,COLUMN())</f>
        <v>DATA!$AF$9:$AF$171</v>
      </c>
      <c r="AG5" s="584" t="str">
        <f ca="1">"DATA!"&amp;ADDRESS($A$1,COLUMN())&amp;":"&amp;ADDRESS(DATA!CT_MTD,COLUMN())</f>
        <v>DATA!$AG$9:$AG$171</v>
      </c>
      <c r="AH5" s="584" t="str">
        <f ca="1">"DATA!"&amp;ADDRESS($A$1,COLUMN())&amp;":"&amp;ADDRESS(DATA!CT_MTD,COLUMN())</f>
        <v>DATA!$AH$9:$AH$171</v>
      </c>
      <c r="AI5" s="584" t="str">
        <f ca="1">"DATA!"&amp;ADDRESS($A$1,COLUMN())&amp;":"&amp;ADDRESS(DATA!CT_MTD,COLUMN())</f>
        <v>DATA!$AI$9:$AI$171</v>
      </c>
      <c r="AJ5" s="584" t="str">
        <f ca="1">"DATA!"&amp;ADDRESS($A$1,COLUMN())&amp;":"&amp;ADDRESS(DATA!CT_MTD,COLUMN())</f>
        <v>DATA!$AJ$9:$AJ$171</v>
      </c>
      <c r="AK5" s="584" t="str">
        <f ca="1">"DATA!"&amp;ADDRESS($A$1,COLUMN())&amp;":"&amp;ADDRESS(DATA!CT_MTD,COLUMN())</f>
        <v>DATA!$AK$9:$AK$171</v>
      </c>
      <c r="AL5" s="584" t="str">
        <f ca="1">"DATA!"&amp;ADDRESS($A$1,COLUMN())&amp;":"&amp;ADDRESS(DATA!CT_MTD,COLUMN())</f>
        <v>DATA!$AL$9:$AL$171</v>
      </c>
      <c r="AM5" s="584" t="str">
        <f ca="1">"DATA!"&amp;ADDRESS($A$1,COLUMN())&amp;":"&amp;ADDRESS(DATA!CT_MTD,COLUMN())</f>
        <v>DATA!$AM$9:$AM$171</v>
      </c>
      <c r="AN5" s="584" t="str">
        <f ca="1">"DATA!"&amp;ADDRESS($A$1,COLUMN())&amp;":"&amp;ADDRESS(DATA!CT_MTD,COLUMN())</f>
        <v>DATA!$AN$9:$AN$171</v>
      </c>
      <c r="AO5" s="584" t="str">
        <f ca="1">"DATA!"&amp;ADDRESS($A$1,COLUMN())&amp;":"&amp;ADDRESS(DATA!CT_MTD,COLUMN())</f>
        <v>DATA!$AO$9:$AO$171</v>
      </c>
      <c r="AP5" s="584" t="str">
        <f ca="1">"DATA!"&amp;ADDRESS($A$1,COLUMN())&amp;":"&amp;ADDRESS(DATA!CT_MTD,COLUMN())</f>
        <v>DATA!$AP$9:$AP$171</v>
      </c>
      <c r="AQ5" s="584" t="str">
        <f ca="1">"DATA!"&amp;ADDRESS($A$1,COLUMN())&amp;":"&amp;ADDRESS(DATA!CT_MTD,COLUMN())</f>
        <v>DATA!$AQ$9:$AQ$171</v>
      </c>
      <c r="AR5" s="584" t="str">
        <f ca="1">"DATA!"&amp;ADDRESS($A$1,COLUMN())&amp;":"&amp;ADDRESS(DATA!CT_MTD,COLUMN())</f>
        <v>DATA!$AR$9:$AR$171</v>
      </c>
      <c r="AS5" s="584" t="str">
        <f ca="1">"DATA!"&amp;ADDRESS($A$1,COLUMN())&amp;":"&amp;ADDRESS(DATA!CT_MTD,COLUMN())</f>
        <v>DATA!$AS$9:$AS$171</v>
      </c>
      <c r="AT5" s="584" t="str">
        <f ca="1">"DATA!"&amp;ADDRESS($A$1,COLUMN())&amp;":"&amp;ADDRESS(DATA!CT_MTD,COLUMN())</f>
        <v>DATA!$AT$9:$AT$171</v>
      </c>
      <c r="AU5" s="584" t="str">
        <f ca="1">"DATA!"&amp;ADDRESS($A$1,COLUMN())&amp;":"&amp;ADDRESS(DATA!CT_MTD,COLUMN())</f>
        <v>DATA!$AU$9:$AU$171</v>
      </c>
      <c r="AV5" s="584" t="str">
        <f ca="1">"DATA!"&amp;ADDRESS($A$1,COLUMN())&amp;":"&amp;ADDRESS(DATA!CT_MTD,COLUMN())</f>
        <v>DATA!$AV$9:$AV$171</v>
      </c>
      <c r="AW5" s="584" t="str">
        <f ca="1">"DATA!"&amp;ADDRESS($A$1,COLUMN())&amp;":"&amp;ADDRESS(DATA!CT_MTD,COLUMN())</f>
        <v>DATA!$AW$9:$AW$171</v>
      </c>
      <c r="AX5" s="584" t="str">
        <f ca="1">"DATA!"&amp;ADDRESS($A$1,COLUMN())&amp;":"&amp;ADDRESS(DATA!CT_MTD,COLUMN())</f>
        <v>DATA!$AX$9:$AX$171</v>
      </c>
      <c r="AY5" s="584" t="str">
        <f ca="1">"DATA!"&amp;ADDRESS($A$1,COLUMN())&amp;":"&amp;ADDRESS(DATA!CT_MTD,COLUMN())</f>
        <v>DATA!$AY$9:$AY$171</v>
      </c>
      <c r="AZ5" s="584" t="str">
        <f ca="1">"DATA!"&amp;ADDRESS($A$1,COLUMN())&amp;":"&amp;ADDRESS(DATA!CT_MTD,COLUMN())</f>
        <v>DATA!$AZ$9:$AZ$171</v>
      </c>
      <c r="BA5" s="584" t="str">
        <f ca="1">"DATA!"&amp;ADDRESS($A$1,COLUMN())&amp;":"&amp;ADDRESS(DATA!CT_MTD,COLUMN())</f>
        <v>DATA!$BA$9:$BA$171</v>
      </c>
      <c r="BB5" s="584" t="str">
        <f ca="1">"DATA!"&amp;ADDRESS($A$1,COLUMN())&amp;":"&amp;ADDRESS(DATA!CT_MTD,COLUMN())</f>
        <v>DATA!$BB$9:$BB$171</v>
      </c>
      <c r="BC5" s="584" t="str">
        <f ca="1">"DATA!"&amp;ADDRESS($A$1,COLUMN())&amp;":"&amp;ADDRESS(DATA!CT_MTD,COLUMN())</f>
        <v>DATA!$BC$9:$BC$171</v>
      </c>
      <c r="BD5" s="584" t="str">
        <f ca="1">"DATA!"&amp;ADDRESS($A$1,COLUMN())&amp;":"&amp;ADDRESS(DATA!CT_MTD,COLUMN())</f>
        <v>DATA!$BD$9:$BD$171</v>
      </c>
      <c r="BE5" s="584" t="str">
        <f ca="1">"DATA!"&amp;ADDRESS($A$1,COLUMN())&amp;":"&amp;ADDRESS(DATA!CT_MTD,COLUMN())</f>
        <v>DATA!$BE$9:$BE$171</v>
      </c>
      <c r="BF5" s="584" t="str">
        <f ca="1">"DATA!"&amp;ADDRESS($A$1,COLUMN())&amp;":"&amp;ADDRESS(DATA!CT_MTD,COLUMN())</f>
        <v>DATA!$BF$9:$BF$171</v>
      </c>
      <c r="BG5" s="584" t="str">
        <f ca="1">"DATA!"&amp;ADDRESS($A$1,COLUMN())&amp;":"&amp;ADDRESS(DATA!CT_MTD,COLUMN())</f>
        <v>DATA!$BG$9:$BG$171</v>
      </c>
      <c r="BH5" s="584" t="str">
        <f ca="1">"DATA!"&amp;ADDRESS($A$1,COLUMN())&amp;":"&amp;ADDRESS(DATA!CT_MTD,COLUMN())</f>
        <v>DATA!$BH$9:$BH$171</v>
      </c>
      <c r="BI5" s="584" t="str">
        <f ca="1">"DATA!"&amp;ADDRESS($A$1,COLUMN())&amp;":"&amp;ADDRESS(DATA!CT_MTD,COLUMN())</f>
        <v>DATA!$BI$9:$BI$171</v>
      </c>
      <c r="BJ5" s="584" t="str">
        <f ca="1">"DATA!"&amp;ADDRESS($A$1,COLUMN())&amp;":"&amp;ADDRESS(DATA!CT_MTD,COLUMN())</f>
        <v>DATA!$BJ$9:$BJ$171</v>
      </c>
      <c r="BK5" s="584" t="str">
        <f ca="1">"DATA!"&amp;ADDRESS($A$1,COLUMN())&amp;":"&amp;ADDRESS(DATA!CT_MTD,COLUMN())</f>
        <v>DATA!$BK$9:$BK$171</v>
      </c>
      <c r="BL5" s="584" t="str">
        <f ca="1">"DATA!"&amp;ADDRESS($A$1,COLUMN())&amp;":"&amp;ADDRESS(DATA!CT_MTD,COLUMN())</f>
        <v>DATA!$BL$9:$BL$171</v>
      </c>
      <c r="BM5" s="584" t="str">
        <f ca="1">"DATA!"&amp;ADDRESS($A$1,COLUMN())&amp;":"&amp;ADDRESS(DATA!CT_MTD,COLUMN())</f>
        <v>DATA!$BM$9:$BM$171</v>
      </c>
      <c r="BN5" s="584" t="str">
        <f ca="1">"DATA!"&amp;ADDRESS($A$1,COLUMN())&amp;":"&amp;ADDRESS(DATA!CT_MTD,COLUMN())</f>
        <v>DATA!$BN$9:$BN$171</v>
      </c>
      <c r="BO5" s="584" t="str">
        <f ca="1">"DATA!"&amp;ADDRESS($A$1,COLUMN())&amp;":"&amp;ADDRESS(DATA!CT_MTD,COLUMN())</f>
        <v>DATA!$BO$9:$BO$171</v>
      </c>
      <c r="BP5" s="584" t="str">
        <f ca="1">"DATA!"&amp;ADDRESS($A$1,COLUMN())&amp;":"&amp;ADDRESS(DATA!CT_MTD,COLUMN())</f>
        <v>DATA!$BP$9:$BP$171</v>
      </c>
      <c r="BQ5" s="584" t="str">
        <f ca="1">"DATA!"&amp;ADDRESS($A$1,COLUMN())&amp;":"&amp;ADDRESS(DATA!CT_MTD,COLUMN())</f>
        <v>DATA!$BQ$9:$BQ$171</v>
      </c>
      <c r="BR5" s="584" t="str">
        <f ca="1">"DATA!"&amp;ADDRESS($A$1,COLUMN())&amp;":"&amp;ADDRESS(DATA!CT_MTD,COLUMN())</f>
        <v>DATA!$BR$9:$BR$171</v>
      </c>
      <c r="BS5" s="584" t="str">
        <f ca="1">"DATA!"&amp;ADDRESS($A$1,COLUMN())&amp;":"&amp;ADDRESS(DATA!CT_MTD,COLUMN())</f>
        <v>DATA!$BS$9:$BS$171</v>
      </c>
      <c r="BT5" s="584" t="str">
        <f ca="1">"DATA!"&amp;ADDRESS($A$1,COLUMN())&amp;":"&amp;ADDRESS(DATA!CT_MTD,COLUMN())</f>
        <v>DATA!$BT$9:$BT$171</v>
      </c>
      <c r="BU5" s="584" t="str">
        <f ca="1">"DATA!"&amp;ADDRESS($A$1,COLUMN())&amp;":"&amp;ADDRESS(DATA!CT_MTD,COLUMN())</f>
        <v>DATA!$BU$9:$BU$171</v>
      </c>
      <c r="BV5" s="584" t="str">
        <f ca="1">"DATA!"&amp;ADDRESS($A$1,COLUMN())&amp;":"&amp;ADDRESS(DATA!CT_MTD,COLUMN())</f>
        <v>DATA!$BV$9:$BV$171</v>
      </c>
      <c r="BW5" s="584" t="str">
        <f ca="1">"DATA!"&amp;ADDRESS($A$1,COLUMN())&amp;":"&amp;ADDRESS(DATA!CT_MTD,COLUMN())</f>
        <v>DATA!$BW$9:$BW$171</v>
      </c>
      <c r="BX5" s="584" t="str">
        <f ca="1">"DATA!"&amp;ADDRESS($A$1,COLUMN())&amp;":"&amp;ADDRESS(DATA!CT_MTD,COLUMN())</f>
        <v>DATA!$BX$9:$BX$171</v>
      </c>
      <c r="BY5" s="584" t="str">
        <f ca="1">"DATA!"&amp;ADDRESS($A$1,COLUMN())&amp;":"&amp;ADDRESS(DATA!CT_MTD,COLUMN())</f>
        <v>DATA!$BY$9:$BY$171</v>
      </c>
      <c r="BZ5" s="584" t="str">
        <f ca="1">"DATA!"&amp;ADDRESS($A$1,COLUMN())&amp;":"&amp;ADDRESS(DATA!CT_MTD,COLUMN())</f>
        <v>DATA!$BZ$9:$BZ$171</v>
      </c>
      <c r="CA5" s="584" t="str">
        <f ca="1">"DATA!"&amp;ADDRESS($A$1,COLUMN())&amp;":"&amp;ADDRESS(DATA!CT_MTD,COLUMN())</f>
        <v>DATA!$CA$9:$CA$171</v>
      </c>
      <c r="CB5" s="584" t="str">
        <f ca="1">"DATA!"&amp;ADDRESS($A$1,COLUMN())&amp;":"&amp;ADDRESS(DATA!CT_MTD,COLUMN())</f>
        <v>DATA!$CB$9:$CB$171</v>
      </c>
      <c r="CC5" s="584" t="str">
        <f ca="1">"DATA!"&amp;ADDRESS($A$1,COLUMN())&amp;":"&amp;ADDRESS(DATA!CT_MTD,COLUMN())</f>
        <v>DATA!$CC$9:$CC$171</v>
      </c>
      <c r="CD5" s="584" t="str">
        <f ca="1">"DATA!"&amp;ADDRESS($A$1,COLUMN())&amp;":"&amp;ADDRESS(DATA!CT_MTD,COLUMN())</f>
        <v>DATA!$CD$9:$CD$171</v>
      </c>
      <c r="CE5" s="584" t="str">
        <f ca="1">"DATA!"&amp;ADDRESS($A$1,COLUMN())&amp;":"&amp;ADDRESS(DATA!CT_MTD,COLUMN())</f>
        <v>DATA!$CE$9:$CE$171</v>
      </c>
      <c r="CF5" s="584" t="str">
        <f ca="1">"DATA!"&amp;ADDRESS($A$1,COLUMN())&amp;":"&amp;ADDRESS(DATA!CT_MTD,COLUMN())</f>
        <v>DATA!$CF$9:$CF$171</v>
      </c>
      <c r="CG5" s="584" t="str">
        <f ca="1">"DATA!"&amp;ADDRESS($A$1,COLUMN())&amp;":"&amp;ADDRESS(DATA!CT_MTD,COLUMN())</f>
        <v>DATA!$CG$9:$CG$171</v>
      </c>
      <c r="CH5" s="584" t="str">
        <f ca="1">"DATA!"&amp;ADDRESS($A$1,COLUMN())&amp;":"&amp;ADDRESS(DATA!CT_MTD,COLUMN())</f>
        <v>DATA!$CH$9:$CH$171</v>
      </c>
      <c r="CI5" s="584" t="str">
        <f ca="1">"DATA!"&amp;ADDRESS($A$1,COLUMN())&amp;":"&amp;ADDRESS(DATA!CT_MTD,COLUMN())</f>
        <v>DATA!$CI$9:$CI$171</v>
      </c>
      <c r="CJ5" s="584" t="str">
        <f ca="1">"DATA!"&amp;ADDRESS($A$1,COLUMN())&amp;":"&amp;ADDRESS(DATA!CT_MTD,COLUMN())</f>
        <v>DATA!$CJ$9:$CJ$171</v>
      </c>
      <c r="CK5" s="584" t="str">
        <f ca="1">"DATA!"&amp;ADDRESS($A$1,COLUMN())&amp;":"&amp;ADDRESS(DATA!CT_MTD,COLUMN())</f>
        <v>DATA!$CK$9:$CK$171</v>
      </c>
      <c r="CL5" s="584" t="str">
        <f ca="1">"DATA!"&amp;ADDRESS($A$1,COLUMN())&amp;":"&amp;ADDRESS(DATA!CT_MTD,COLUMN())</f>
        <v>DATA!$CL$9:$CL$171</v>
      </c>
      <c r="CM5" s="584" t="str">
        <f ca="1">"DATA!"&amp;ADDRESS($A$1,COLUMN())&amp;":"&amp;ADDRESS(DATA!CT_MTD,COLUMN())</f>
        <v>DATA!$CM$9:$CM$171</v>
      </c>
      <c r="CN5" s="584" t="str">
        <f ca="1">"DATA!"&amp;ADDRESS($A$1,COLUMN())&amp;":"&amp;ADDRESS(DATA!CT_MTD,COLUMN())</f>
        <v>DATA!$CN$9:$CN$171</v>
      </c>
      <c r="CO5" s="584" t="str">
        <f ca="1">"DATA!"&amp;ADDRESS($A$1,COLUMN())&amp;":"&amp;ADDRESS(DATA!CT_MTD,COLUMN())</f>
        <v>DATA!$CO$9:$CO$171</v>
      </c>
      <c r="CP5" s="584" t="str">
        <f ca="1">"DATA!"&amp;ADDRESS($A$1,COLUMN())&amp;":"&amp;ADDRESS(DATA!CT_MTD,COLUMN())</f>
        <v>DATA!$CP$9:$CP$171</v>
      </c>
      <c r="CQ5" s="584" t="str">
        <f ca="1">"DATA!"&amp;ADDRESS($A$1,COLUMN())&amp;":"&amp;ADDRESS(DATA!CT_MTD,COLUMN())</f>
        <v>DATA!$CQ$9:$CQ$171</v>
      </c>
      <c r="CR5" s="584" t="str">
        <f ca="1">"DATA!"&amp;ADDRESS($A$1,COLUMN())&amp;":"&amp;ADDRESS(DATA!CT_MTD,COLUMN())</f>
        <v>DATA!$CR$9:$CR$171</v>
      </c>
      <c r="CS5" s="584" t="str">
        <f ca="1">"DATA!"&amp;ADDRESS($A$1,COLUMN())&amp;":"&amp;ADDRESS(DATA!CT_MTD,COLUMN())</f>
        <v>DATA!$CS$9:$CS$171</v>
      </c>
      <c r="CT5" s="584" t="str">
        <f ca="1">"DATA!"&amp;ADDRESS($A$1,COLUMN())&amp;":"&amp;ADDRESS(DATA!CT_MTD,COLUMN())</f>
        <v>DATA!$CT$9:$CT$171</v>
      </c>
      <c r="CU5" s="584" t="str">
        <f ca="1">"DATA!"&amp;ADDRESS($A$1,COLUMN())&amp;":"&amp;ADDRESS(DATA!CT_MTD,COLUMN())</f>
        <v>DATA!$CU$9:$CU$171</v>
      </c>
      <c r="CV5" s="584" t="str">
        <f ca="1">"DATA!"&amp;ADDRESS($A$1,COLUMN())&amp;":"&amp;ADDRESS(DATA!CT_MTD,COLUMN())</f>
        <v>DATA!$CV$9:$CV$171</v>
      </c>
      <c r="CW5" s="584" t="str">
        <f ca="1">"DATA!"&amp;ADDRESS($A$1,COLUMN())&amp;":"&amp;ADDRESS(DATA!CT_MTD,COLUMN())</f>
        <v>DATA!$CW$9:$CW$171</v>
      </c>
      <c r="CX5" s="584" t="str">
        <f ca="1">"DATA!"&amp;ADDRESS($A$1,COLUMN())&amp;":"&amp;ADDRESS(DATA!CT_MTD,COLUMN())</f>
        <v>DATA!$CX$9:$CX$171</v>
      </c>
      <c r="CY5" s="584" t="str">
        <f ca="1">"DATA!"&amp;ADDRESS($A$1,COLUMN())&amp;":"&amp;ADDRESS(DATA!CT_MTD,COLUMN())</f>
        <v>DATA!$CY$9:$CY$171</v>
      </c>
      <c r="CZ5" s="584" t="str">
        <f ca="1">"DATA!"&amp;ADDRESS($A$1,COLUMN())&amp;":"&amp;ADDRESS(DATA!CT_MTD,COLUMN())</f>
        <v>DATA!$CZ$9:$CZ$171</v>
      </c>
      <c r="DA5" s="584" t="str">
        <f ca="1">"DATA!"&amp;ADDRESS($A$1,COLUMN())&amp;":"&amp;ADDRESS(DATA!CT_MTD,COLUMN())</f>
        <v>DATA!$DA$9:$DA$171</v>
      </c>
      <c r="DB5" s="584" t="str">
        <f ca="1">"DATA!"&amp;ADDRESS($A$1,COLUMN())&amp;":"&amp;ADDRESS(DATA!CT_MTD,COLUMN())</f>
        <v>DATA!$DB$9:$DB$171</v>
      </c>
      <c r="DC5" s="584" t="str">
        <f ca="1">"DATA!"&amp;ADDRESS($A$1,COLUMN())&amp;":"&amp;ADDRESS(DATA!CT_MTD,COLUMN())</f>
        <v>DATA!$DC$9:$DC$171</v>
      </c>
      <c r="DD5" s="584" t="str">
        <f ca="1">"DATA!"&amp;ADDRESS($A$1,COLUMN())&amp;":"&amp;ADDRESS(DATA!CT_MTD,COLUMN())</f>
        <v>DATA!$DD$9:$DD$171</v>
      </c>
      <c r="DE5" s="584" t="str">
        <f ca="1">"DATA!"&amp;ADDRESS($A$1,COLUMN())&amp;":"&amp;ADDRESS(DATA!CT_MTD,COLUMN())</f>
        <v>DATA!$DE$9:$DE$171</v>
      </c>
      <c r="DF5" s="584" t="str">
        <f ca="1">"DATA!"&amp;ADDRESS($A$1,COLUMN())&amp;":"&amp;ADDRESS(DATA!CT_MTD,COLUMN())</f>
        <v>DATA!$DF$9:$DF$171</v>
      </c>
      <c r="DG5" s="584" t="str">
        <f ca="1">"DATA!"&amp;ADDRESS($A$1,COLUMN())&amp;":"&amp;ADDRESS(DATA!CT_MTD,COLUMN())</f>
        <v>DATA!$DG$9:$DG$171</v>
      </c>
      <c r="DH5" s="584" t="str">
        <f ca="1">"DATA!"&amp;ADDRESS($A$1,COLUMN())&amp;":"&amp;ADDRESS(DATA!CT_MTD,COLUMN())</f>
        <v>DATA!$DH$9:$DH$171</v>
      </c>
      <c r="DI5" s="584" t="str">
        <f ca="1">"DATA!"&amp;ADDRESS($A$1,COLUMN())&amp;":"&amp;ADDRESS(DATA!CT_MTD,COLUMN())</f>
        <v>DATA!$DI$9:$DI$171</v>
      </c>
      <c r="DJ5" s="584" t="str">
        <f ca="1">"DATA!"&amp;ADDRESS($A$1,COLUMN())&amp;":"&amp;ADDRESS(DATA!CT_MTD,COLUMN())</f>
        <v>DATA!$DJ$9:$DJ$171</v>
      </c>
      <c r="DK5" s="584" t="str">
        <f ca="1">"DATA!"&amp;ADDRESS($A$1,COLUMN())&amp;":"&amp;ADDRESS(DATA!CT_MTD,COLUMN())</f>
        <v>DATA!$DK$9:$DK$171</v>
      </c>
      <c r="DL5" s="584" t="str">
        <f ca="1">"DATA!"&amp;ADDRESS($A$1,COLUMN())&amp;":"&amp;ADDRESS(DATA!CT_MTD,COLUMN())</f>
        <v>DATA!$DL$9:$DL$171</v>
      </c>
      <c r="DM5" s="584" t="str">
        <f ca="1">"DATA!"&amp;ADDRESS($A$1,COLUMN())&amp;":"&amp;ADDRESS(DATA!CT_MTD,COLUMN())</f>
        <v>DATA!$DM$9:$DM$171</v>
      </c>
      <c r="DN5" s="584" t="str">
        <f ca="1">"DATA!"&amp;ADDRESS($A$1,COLUMN())&amp;":"&amp;ADDRESS(DATA!CT_MTD,COLUMN())</f>
        <v>DATA!$DN$9:$DN$171</v>
      </c>
      <c r="DO5" s="584" t="str">
        <f ca="1">"DATA!"&amp;ADDRESS($A$1,COLUMN())&amp;":"&amp;ADDRESS(DATA!CT_MTD,COLUMN())</f>
        <v>DATA!$DO$9:$DO$171</v>
      </c>
      <c r="DP5" s="584" t="str">
        <f ca="1">"DATA!"&amp;ADDRESS($A$1,COLUMN())&amp;":"&amp;ADDRESS(DATA!CT_MTD,COLUMN())</f>
        <v>DATA!$DP$9:$DP$171</v>
      </c>
      <c r="DQ5" s="584" t="str">
        <f ca="1">"DATA!"&amp;ADDRESS($A$1,COLUMN())&amp;":"&amp;ADDRESS(DATA!CT_MTD,COLUMN())</f>
        <v>DATA!$DQ$9:$DQ$171</v>
      </c>
      <c r="DR5" s="584" t="str">
        <f ca="1">"DATA!"&amp;ADDRESS($A$1,COLUMN())&amp;":"&amp;ADDRESS(DATA!CT_MTD,COLUMN())</f>
        <v>DATA!$DR$9:$DR$171</v>
      </c>
      <c r="DS5" s="584" t="str">
        <f ca="1">"DATA!"&amp;ADDRESS($A$1,COLUMN())&amp;":"&amp;ADDRESS(DATA!CT_MTD,COLUMN())</f>
        <v>DATA!$DS$9:$DS$171</v>
      </c>
      <c r="DT5" s="584" t="str">
        <f ca="1">"DATA!"&amp;ADDRESS($A$1,COLUMN())&amp;":"&amp;ADDRESS(DATA!CT_MTD,COLUMN())</f>
        <v>DATA!$DT$9:$DT$171</v>
      </c>
      <c r="DU5" s="584" t="str">
        <f ca="1">"DATA!"&amp;ADDRESS($A$1,COLUMN())&amp;":"&amp;ADDRESS(DATA!CT_MTD,COLUMN())</f>
        <v>DATA!$DU$9:$DU$171</v>
      </c>
      <c r="DV5" s="584" t="str">
        <f ca="1">"DATA!"&amp;ADDRESS($A$1,COLUMN())&amp;":"&amp;ADDRESS(DATA!CT_MTD,COLUMN())</f>
        <v>DATA!$DV$9:$DV$171</v>
      </c>
      <c r="DW5" s="584" t="str">
        <f ca="1">"DATA!"&amp;ADDRESS($A$1,COLUMN())&amp;":"&amp;ADDRESS(DATA!CT_MTD,COLUMN())</f>
        <v>DATA!$DW$9:$DW$171</v>
      </c>
      <c r="DX5" s="584" t="str">
        <f ca="1">"DATA!"&amp;ADDRESS($A$1,COLUMN())&amp;":"&amp;ADDRESS(DATA!CT_MTD,COLUMN())</f>
        <v>DATA!$DX$9:$DX$171</v>
      </c>
      <c r="DY5" s="584" t="str">
        <f ca="1">"DATA!"&amp;ADDRESS($A$1,COLUMN())&amp;":"&amp;ADDRESS(DATA!CT_MTD,COLUMN())</f>
        <v>DATA!$DY$9:$DY$171</v>
      </c>
      <c r="DZ5" s="584" t="str">
        <f ca="1">"DATA!"&amp;ADDRESS($A$1,COLUMN())&amp;":"&amp;ADDRESS(DATA!CT_MTD,COLUMN())</f>
        <v>DATA!$DZ$9:$DZ$171</v>
      </c>
      <c r="EA5" s="584" t="str">
        <f ca="1">"DATA!"&amp;ADDRESS($A$1,COLUMN())&amp;":"&amp;ADDRESS(DATA!CT_MTD,COLUMN())</f>
        <v>DATA!$EA$9:$EA$171</v>
      </c>
      <c r="EB5" s="584" t="str">
        <f ca="1">"DATA!"&amp;ADDRESS($A$1,COLUMN())&amp;":"&amp;ADDRESS(DATA!CT_MTD,COLUMN())</f>
        <v>DATA!$EB$9:$EB$171</v>
      </c>
      <c r="EC5" s="584" t="str">
        <f ca="1">"DATA!"&amp;ADDRESS($A$1,COLUMN())&amp;":"&amp;ADDRESS(DATA!CT_MTD,COLUMN())</f>
        <v>DATA!$EC$9:$EC$171</v>
      </c>
      <c r="ED5" s="584" t="str">
        <f ca="1">"DATA!"&amp;ADDRESS($A$1,COLUMN())&amp;":"&amp;ADDRESS(DATA!CT_MTD,COLUMN())</f>
        <v>DATA!$ED$9:$ED$171</v>
      </c>
      <c r="EE5" s="584" t="str">
        <f ca="1">"DATA!"&amp;ADDRESS($A$1,COLUMN())&amp;":"&amp;ADDRESS(DATA!CT_MTD,COLUMN())</f>
        <v>DATA!$EE$9:$EE$171</v>
      </c>
      <c r="EF5" s="584" t="str">
        <f ca="1">"DATA!"&amp;ADDRESS($A$1,COLUMN())&amp;":"&amp;ADDRESS(DATA!CT_MTD,COLUMN())</f>
        <v>DATA!$EF$9:$EF$171</v>
      </c>
      <c r="EG5" s="584" t="str">
        <f ca="1">"DATA!"&amp;ADDRESS($A$1,COLUMN())&amp;":"&amp;ADDRESS(DATA!CT_MTD,COLUMN())</f>
        <v>DATA!$EG$9:$EG$171</v>
      </c>
      <c r="EH5" s="584" t="str">
        <f ca="1">"DATA!"&amp;ADDRESS($A$1,COLUMN())&amp;":"&amp;ADDRESS(DATA!CT_MTD,COLUMN())</f>
        <v>DATA!$EH$9:$EH$171</v>
      </c>
      <c r="EI5" s="584" t="str">
        <f ca="1">"DATA!"&amp;ADDRESS($A$1,COLUMN())&amp;":"&amp;ADDRESS(DATA!CT_MTD,COLUMN())</f>
        <v>DATA!$EI$9:$EI$171</v>
      </c>
      <c r="EJ5" s="584" t="str">
        <f ca="1">"DATA!"&amp;ADDRESS($A$1,COLUMN())&amp;":"&amp;ADDRESS(DATA!CT_MTD,COLUMN())</f>
        <v>DATA!$EJ$9:$EJ$171</v>
      </c>
      <c r="EK5" s="584" t="str">
        <f ca="1">"DATA!"&amp;ADDRESS($A$1,COLUMN())&amp;":"&amp;ADDRESS(DATA!CT_MTD,COLUMN())</f>
        <v>DATA!$EK$9:$EK$171</v>
      </c>
      <c r="EL5" s="584" t="str">
        <f ca="1">"DATA!"&amp;ADDRESS($A$1,COLUMN())&amp;":"&amp;ADDRESS(DATA!CT_MTD,COLUMN())</f>
        <v>DATA!$EL$9:$EL$171</v>
      </c>
      <c r="EM5" s="584" t="str">
        <f ca="1">"DATA!"&amp;ADDRESS($A$1,COLUMN())&amp;":"&amp;ADDRESS(DATA!CT_MTD,COLUMN())</f>
        <v>DATA!$EM$9:$EM$171</v>
      </c>
      <c r="EN5" s="584" t="str">
        <f ca="1">"DATA!"&amp;ADDRESS($A$1,COLUMN())&amp;":"&amp;ADDRESS(DATA!CT_MTD,COLUMN())</f>
        <v>DATA!$EN$9:$EN$171</v>
      </c>
      <c r="EO5" s="584" t="str">
        <f ca="1">"DATA!"&amp;ADDRESS($A$1,COLUMN())&amp;":"&amp;ADDRESS(DATA!CT_MTD,COLUMN())</f>
        <v>DATA!$EO$9:$EO$171</v>
      </c>
      <c r="EP5" s="584" t="str">
        <f ca="1">"DATA!"&amp;ADDRESS($A$1,COLUMN())&amp;":"&amp;ADDRESS(DATA!CT_MTD,COLUMN())</f>
        <v>DATA!$EP$9:$EP$171</v>
      </c>
      <c r="EQ5" s="584" t="str">
        <f ca="1">"DATA!"&amp;ADDRESS($A$1,COLUMN())&amp;":"&amp;ADDRESS(DATA!CT_MTD,COLUMN())</f>
        <v>DATA!$EQ$9:$EQ$171</v>
      </c>
      <c r="ER5" s="584" t="str">
        <f ca="1">"DATA!"&amp;ADDRESS($A$1,COLUMN())&amp;":"&amp;ADDRESS(DATA!CT_MTD,COLUMN())</f>
        <v>DATA!$ER$9:$ER$171</v>
      </c>
      <c r="ES5" s="584" t="str">
        <f ca="1">"DATA!"&amp;ADDRESS($A$1,COLUMN())&amp;":"&amp;ADDRESS(DATA!CT_MTD,COLUMN())</f>
        <v>DATA!$ES$9:$ES$171</v>
      </c>
      <c r="ET5" s="584" t="str">
        <f ca="1">"DATA!"&amp;ADDRESS($A$1,COLUMN())&amp;":"&amp;ADDRESS(DATA!CT_MTD,COLUMN())</f>
        <v>DATA!$ET$9:$ET$171</v>
      </c>
      <c r="EU5" s="584" t="str">
        <f ca="1">"DATA!"&amp;ADDRESS($A$1,COLUMN())&amp;":"&amp;ADDRESS(DATA!CT_MTD,COLUMN())</f>
        <v>DATA!$EU$9:$EU$171</v>
      </c>
      <c r="EV5" s="584" t="str">
        <f ca="1">"DATA!"&amp;ADDRESS($A$1,COLUMN())&amp;":"&amp;ADDRESS(DATA!CT_MTD,COLUMN())</f>
        <v>DATA!$EV$9:$EV$171</v>
      </c>
      <c r="EW5" s="584" t="str">
        <f ca="1">"DATA!"&amp;ADDRESS($A$1,COLUMN())&amp;":"&amp;ADDRESS(DATA!CT_MTD,COLUMN())</f>
        <v>DATA!$EW$9:$EW$171</v>
      </c>
      <c r="EX5" s="584" t="str">
        <f ca="1">"DATA!"&amp;ADDRESS($A$1,COLUMN())&amp;":"&amp;ADDRESS(DATA!CT_MTD,COLUMN())</f>
        <v>DATA!$EX$9:$EX$171</v>
      </c>
      <c r="EY5" s="584" t="str">
        <f ca="1">"DATA!"&amp;ADDRESS($A$1,COLUMN())&amp;":"&amp;ADDRESS(DATA!CT_MTD,COLUMN())</f>
        <v>DATA!$EY$9:$EY$171</v>
      </c>
      <c r="EZ5" s="584" t="str">
        <f ca="1">"DATA!"&amp;ADDRESS($A$1,COLUMN())&amp;":"&amp;ADDRESS(DATA!CT_MTD,COLUMN())</f>
        <v>DATA!$EZ$9:$EZ$171</v>
      </c>
      <c r="FA5" s="584" t="str">
        <f ca="1">"DATA!"&amp;ADDRESS($A$1,COLUMN())&amp;":"&amp;ADDRESS(DATA!CT_MTD,COLUMN())</f>
        <v>DATA!$FA$9:$FA$171</v>
      </c>
      <c r="FB5" s="584" t="str">
        <f ca="1">"DATA!"&amp;ADDRESS($A$1,COLUMN())&amp;":"&amp;ADDRESS(DATA!CT_MTD,COLUMN())</f>
        <v>DATA!$FB$9:$FB$171</v>
      </c>
      <c r="FC5" s="584" t="str">
        <f ca="1">"DATA!"&amp;ADDRESS($A$1,COLUMN())&amp;":"&amp;ADDRESS(DATA!CT_MTD,COLUMN())</f>
        <v>DATA!$FC$9:$FC$171</v>
      </c>
      <c r="FD5" s="584" t="str">
        <f ca="1">"DATA!"&amp;ADDRESS($A$1,COLUMN())&amp;":"&amp;ADDRESS(DATA!CT_MTD,COLUMN())</f>
        <v>DATA!$FD$9:$FD$171</v>
      </c>
      <c r="FE5" s="584" t="str">
        <f ca="1">"DATA!"&amp;ADDRESS($A$1,COLUMN())&amp;":"&amp;ADDRESS(DATA!CT_MTD,COLUMN())</f>
        <v>DATA!$FE$9:$FE$171</v>
      </c>
      <c r="FF5" s="584" t="str">
        <f ca="1">"DATA!"&amp;ADDRESS($A$1,COLUMN())&amp;":"&amp;ADDRESS(DATA!CT_MTD,COLUMN())</f>
        <v>DATA!$FF$9:$FF$171</v>
      </c>
      <c r="FG5" s="584" t="str">
        <f ca="1">"DATA!"&amp;ADDRESS($A$1,COLUMN())&amp;":"&amp;ADDRESS(DATA!CT_MTD,COLUMN())</f>
        <v>DATA!$FG$9:$FG$171</v>
      </c>
      <c r="FH5" s="584" t="str">
        <f ca="1">"DATA!"&amp;ADDRESS($A$1,COLUMN())&amp;":"&amp;ADDRESS(DATA!CT_MTD,COLUMN())</f>
        <v>DATA!$FH$9:$FH$171</v>
      </c>
      <c r="FI5" s="584" t="str">
        <f ca="1">"DATA!"&amp;ADDRESS($A$1,COLUMN())&amp;":"&amp;ADDRESS(DATA!CT_MTD,COLUMN())</f>
        <v>DATA!$FI$9:$FI$171</v>
      </c>
      <c r="FJ5" s="584" t="str">
        <f ca="1">"DATA!"&amp;ADDRESS($A$1,COLUMN())&amp;":"&amp;ADDRESS(DATA!CT_MTD,COLUMN())</f>
        <v>DATA!$FJ$9:$FJ$171</v>
      </c>
      <c r="FK5" s="584" t="str">
        <f ca="1">"DATA!"&amp;ADDRESS($A$1,COLUMN())&amp;":"&amp;ADDRESS(DATA!CT_MTD,COLUMN())</f>
        <v>DATA!$FK$9:$FK$171</v>
      </c>
      <c r="FL5" s="584" t="str">
        <f ca="1">"DATA!"&amp;ADDRESS($A$1,COLUMN())&amp;":"&amp;ADDRESS(DATA!CT_MTD,COLUMN())</f>
        <v>DATA!$FL$9:$FL$171</v>
      </c>
      <c r="FM5" s="584" t="str">
        <f ca="1">"DATA!"&amp;ADDRESS($A$1,COLUMN())&amp;":"&amp;ADDRESS(DATA!CT_MTD,COLUMN())</f>
        <v>DATA!$FM$9:$FM$171</v>
      </c>
      <c r="FN5" s="584" t="str">
        <f ca="1">"DATA!"&amp;ADDRESS($A$1,COLUMN())&amp;":"&amp;ADDRESS(DATA!CT_MTD,COLUMN())</f>
        <v>DATA!$FN$9:$FN$171</v>
      </c>
      <c r="FO5" s="584" t="str">
        <f ca="1">"DATA!"&amp;ADDRESS($A$1,COLUMN())&amp;":"&amp;ADDRESS(DATA!CT_MTD,COLUMN())</f>
        <v>DATA!$FO$9:$FO$171</v>
      </c>
      <c r="FP5" s="584" t="str">
        <f ca="1">"DATA!"&amp;ADDRESS($A$1,COLUMN())&amp;":"&amp;ADDRESS(DATA!CT_MTD,COLUMN())</f>
        <v>DATA!$FP$9:$FP$171</v>
      </c>
      <c r="FQ5" s="584" t="str">
        <f ca="1">"DATA!"&amp;ADDRESS($A$1,COLUMN())&amp;":"&amp;ADDRESS(DATA!CT_MTD,COLUMN())</f>
        <v>DATA!$FQ$9:$FQ$171</v>
      </c>
      <c r="FR5" s="584" t="str">
        <f ca="1">"DATA!"&amp;ADDRESS($A$1,COLUMN())&amp;":"&amp;ADDRESS(DATA!CT_MTD,COLUMN())</f>
        <v>DATA!$FR$9:$FR$171</v>
      </c>
      <c r="FS5" s="584" t="str">
        <f ca="1">"DATA!"&amp;ADDRESS($A$1,COLUMN())&amp;":"&amp;ADDRESS(DATA!CT_MTD,COLUMN())</f>
        <v>DATA!$FS$9:$FS$171</v>
      </c>
      <c r="FT5" s="584" t="str">
        <f ca="1">"DATA!"&amp;ADDRESS($A$1,COLUMN())&amp;":"&amp;ADDRESS(DATA!CT_MTD,COLUMN())</f>
        <v>DATA!$FT$9:$FT$171</v>
      </c>
      <c r="FU5" s="584" t="str">
        <f ca="1">"DATA!"&amp;ADDRESS($A$1,COLUMN())&amp;":"&amp;ADDRESS(DATA!CT_MTD,COLUMN())</f>
        <v>DATA!$FU$9:$FU$171</v>
      </c>
      <c r="FV5" s="584" t="str">
        <f ca="1">"DATA!"&amp;ADDRESS($A$1,COLUMN())&amp;":"&amp;ADDRESS(DATA!CT_MTD,COLUMN())</f>
        <v>DATA!$FV$9:$FV$171</v>
      </c>
      <c r="FW5" s="584" t="str">
        <f ca="1">"DATA!"&amp;ADDRESS($A$1,COLUMN())&amp;":"&amp;ADDRESS(DATA!CT_MTD,COLUMN())</f>
        <v>DATA!$FW$9:$FW$171</v>
      </c>
      <c r="FX5" s="584" t="str">
        <f ca="1">"DATA!"&amp;ADDRESS($A$1,COLUMN())&amp;":"&amp;ADDRESS(DATA!CT_MTD,COLUMN())</f>
        <v>DATA!$FX$9:$FX$171</v>
      </c>
      <c r="FY5" s="584" t="str">
        <f ca="1">"DATA!"&amp;ADDRESS($A$1,COLUMN())&amp;":"&amp;ADDRESS(DATA!CT_MTD,COLUMN())</f>
        <v>DATA!$FY$9:$FY$171</v>
      </c>
      <c r="FZ5" s="584" t="str">
        <f ca="1">"DATA!"&amp;ADDRESS($A$1,COLUMN())&amp;":"&amp;ADDRESS(DATA!CT_MTD,COLUMN())</f>
        <v>DATA!$FZ$9:$FZ$171</v>
      </c>
      <c r="GA5" s="584" t="str">
        <f ca="1">"DATA!"&amp;ADDRESS($A$1,COLUMN())&amp;":"&amp;ADDRESS(DATA!CT_MTD,COLUMN())</f>
        <v>DATA!$GA$9:$GA$171</v>
      </c>
      <c r="GB5" s="584" t="str">
        <f ca="1">"DATA!"&amp;ADDRESS($A$1,COLUMN())&amp;":"&amp;ADDRESS(DATA!CT_MTD,COLUMN())</f>
        <v>DATA!$GB$9:$GB$171</v>
      </c>
      <c r="GC5" s="584" t="str">
        <f ca="1">"DATA!"&amp;ADDRESS($A$1,COLUMN())&amp;":"&amp;ADDRESS(DATA!CT_MTD,COLUMN())</f>
        <v>DATA!$GC$9:$GC$171</v>
      </c>
      <c r="GD5" s="584" t="str">
        <f ca="1">"DATA!"&amp;ADDRESS($A$1,COLUMN())&amp;":"&amp;ADDRESS(DATA!CT_MTD,COLUMN())</f>
        <v>DATA!$GD$9:$GD$171</v>
      </c>
      <c r="GE5" s="584" t="str">
        <f ca="1">"DATA!"&amp;ADDRESS($A$1,COLUMN())&amp;":"&amp;ADDRESS(DATA!CT_MTD,COLUMN())</f>
        <v>DATA!$GE$9:$GE$171</v>
      </c>
      <c r="GF5" s="584" t="str">
        <f ca="1">"DATA!"&amp;ADDRESS($A$1,COLUMN())&amp;":"&amp;ADDRESS(DATA!CT_MTD,COLUMN())</f>
        <v>DATA!$GF$9:$GF$171</v>
      </c>
      <c r="GG5" s="584" t="str">
        <f ca="1">"DATA!"&amp;ADDRESS($A$1,COLUMN())&amp;":"&amp;ADDRESS(DATA!CT_MTD,COLUMN())</f>
        <v>DATA!$GG$9:$GG$171</v>
      </c>
      <c r="GH5" s="584" t="str">
        <f ca="1">"DATA!"&amp;ADDRESS($A$1,COLUMN())&amp;":"&amp;ADDRESS(DATA!CT_MTD,COLUMN())</f>
        <v>DATA!$GH$9:$GH$171</v>
      </c>
      <c r="GI5" s="584" t="str">
        <f ca="1">"DATA!"&amp;ADDRESS($A$1,COLUMN())&amp;":"&amp;ADDRESS(DATA!CT_MTD,COLUMN())</f>
        <v>DATA!$GI$9:$GI$171</v>
      </c>
      <c r="GJ5" s="584" t="str">
        <f ca="1">"DATA!"&amp;ADDRESS($A$1,COLUMN())&amp;":"&amp;ADDRESS(DATA!CT_MTD,COLUMN())</f>
        <v>DATA!$GJ$9:$GJ$171</v>
      </c>
      <c r="GK5" s="584" t="str">
        <f ca="1">"DATA!"&amp;ADDRESS($A$1,COLUMN())&amp;":"&amp;ADDRESS(DATA!CT_MTD,COLUMN())</f>
        <v>DATA!$GK$9:$GK$171</v>
      </c>
      <c r="GL5" s="584" t="str">
        <f ca="1">"DATA!"&amp;ADDRESS($A$1,COLUMN())&amp;":"&amp;ADDRESS(DATA!CT_MTD,COLUMN())</f>
        <v>DATA!$GL$9:$GL$171</v>
      </c>
      <c r="GM5" s="584" t="str">
        <f ca="1">"DATA!"&amp;ADDRESS($A$1,COLUMN())&amp;":"&amp;ADDRESS(DATA!CT_MTD,COLUMN())</f>
        <v>DATA!$GM$9:$GM$171</v>
      </c>
      <c r="GN5" s="584" t="str">
        <f ca="1">"DATA!"&amp;ADDRESS($A$1,COLUMN())&amp;":"&amp;ADDRESS(DATA!CT_MTD,COLUMN())</f>
        <v>DATA!$GN$9:$GN$171</v>
      </c>
      <c r="GO5" s="584" t="str">
        <f ca="1">"DATA!"&amp;ADDRESS($A$1,COLUMN())&amp;":"&amp;ADDRESS(DATA!CT_MTD,COLUMN())</f>
        <v>DATA!$GO$9:$GO$171</v>
      </c>
      <c r="GP5" s="584" t="str">
        <f ca="1">"DATA!"&amp;ADDRESS($A$1,COLUMN())&amp;":"&amp;ADDRESS(DATA!CT_MTD,COLUMN())</f>
        <v>DATA!$GP$9:$GP$171</v>
      </c>
      <c r="GQ5" s="584" t="str">
        <f ca="1">"DATA!"&amp;ADDRESS($A$1,COLUMN())&amp;":"&amp;ADDRESS(DATA!CT_MTD,COLUMN())</f>
        <v>DATA!$GQ$9:$GQ$171</v>
      </c>
      <c r="GR5" s="584" t="str">
        <f ca="1">"DATA!"&amp;ADDRESS($A$1,COLUMN())&amp;":"&amp;ADDRESS(DATA!CT_MTD,COLUMN())</f>
        <v>DATA!$GR$9:$GR$171</v>
      </c>
      <c r="GS5" s="584" t="str">
        <f ca="1">"DATA!"&amp;ADDRESS($A$1,COLUMN())&amp;":"&amp;ADDRESS(DATA!CT_MTD,COLUMN())</f>
        <v>DATA!$GS$9:$GS$171</v>
      </c>
      <c r="GT5" s="584" t="str">
        <f ca="1">"DATA!"&amp;ADDRESS($A$1,COLUMN())&amp;":"&amp;ADDRESS(DATA!CT_MTD,COLUMN())</f>
        <v>DATA!$GT$9:$GT$171</v>
      </c>
      <c r="GU5" s="584" t="str">
        <f ca="1">"DATA!"&amp;ADDRESS($A$1,COLUMN())&amp;":"&amp;ADDRESS(DATA!CT_MTD,COLUMN())</f>
        <v>DATA!$GU$9:$GU$171</v>
      </c>
      <c r="GV5" s="584" t="str">
        <f ca="1">"DATA!"&amp;ADDRESS($A$1,COLUMN())&amp;":"&amp;ADDRESS(DATA!CT_MTD,COLUMN())</f>
        <v>DATA!$GV$9:$GV$171</v>
      </c>
      <c r="GW5" s="584" t="str">
        <f ca="1">"DATA!"&amp;ADDRESS($A$1,COLUMN())&amp;":"&amp;ADDRESS(DATA!CT_MTD,COLUMN())</f>
        <v>DATA!$GW$9:$GW$171</v>
      </c>
    </row>
    <row r="6" spans="1:212" s="528" customFormat="1" ht="17.25" customHeight="1">
      <c r="A6" s="924"/>
      <c r="B6" s="924"/>
      <c r="C6" s="924"/>
      <c r="D6" s="924"/>
      <c r="E6" s="923" t="s">
        <v>83</v>
      </c>
      <c r="F6" s="923"/>
      <c r="G6" s="923"/>
      <c r="H6" s="923"/>
      <c r="I6" s="923"/>
      <c r="J6" s="923"/>
      <c r="K6" s="923"/>
      <c r="L6" s="923"/>
      <c r="M6" s="923"/>
      <c r="N6" s="922" t="str">
        <f ca="1">"Năm " &amp;YEAR(TODAY())</f>
        <v>Năm 2022</v>
      </c>
      <c r="O6" s="922"/>
      <c r="P6" s="922"/>
      <c r="Q6" s="922"/>
      <c r="R6" s="925" t="s">
        <v>67</v>
      </c>
      <c r="S6" s="925"/>
      <c r="T6" s="925"/>
      <c r="U6" s="925"/>
      <c r="V6" s="925"/>
      <c r="W6" s="925"/>
      <c r="X6" s="925"/>
      <c r="Y6" s="925"/>
      <c r="Z6" s="925"/>
      <c r="AA6" s="925"/>
      <c r="AB6" s="925"/>
      <c r="AC6" s="940"/>
      <c r="AD6" s="940"/>
      <c r="AE6" s="940"/>
      <c r="AF6" s="940"/>
      <c r="AG6" s="940"/>
      <c r="AH6" s="932" t="s">
        <v>895</v>
      </c>
      <c r="AI6" s="932"/>
      <c r="AJ6" s="932"/>
      <c r="AK6" s="932"/>
      <c r="AL6" s="932"/>
      <c r="AM6" s="932"/>
      <c r="AN6" s="932"/>
      <c r="AO6" s="932"/>
      <c r="AP6" s="932"/>
      <c r="AQ6" s="932"/>
      <c r="AR6" s="932"/>
      <c r="AS6" s="932"/>
      <c r="AT6" s="932"/>
      <c r="AU6" s="932"/>
      <c r="AV6" s="918" t="s">
        <v>896</v>
      </c>
      <c r="AW6" s="918"/>
      <c r="AX6" s="918"/>
      <c r="AY6" s="918"/>
      <c r="AZ6" s="918"/>
      <c r="BA6" s="918"/>
      <c r="BB6" s="918"/>
      <c r="BC6" s="918"/>
      <c r="BD6" s="918"/>
      <c r="BE6" s="918"/>
      <c r="BF6" s="918"/>
      <c r="BG6" s="918"/>
      <c r="BH6" s="918"/>
      <c r="BI6" s="918"/>
      <c r="BJ6" s="918" t="s">
        <v>897</v>
      </c>
      <c r="BK6" s="918"/>
      <c r="BL6" s="918"/>
      <c r="BM6" s="918"/>
      <c r="BN6" s="918"/>
      <c r="BO6" s="918"/>
      <c r="BP6" s="918"/>
      <c r="BQ6" s="918"/>
      <c r="BR6" s="918"/>
      <c r="BS6" s="918"/>
      <c r="BT6" s="918"/>
      <c r="BU6" s="918"/>
      <c r="BV6" s="918"/>
      <c r="BW6" s="918"/>
      <c r="BX6" s="926" t="s">
        <v>898</v>
      </c>
      <c r="BY6" s="926"/>
      <c r="BZ6" s="926"/>
      <c r="CA6" s="926"/>
      <c r="CB6" s="926"/>
      <c r="CC6" s="926"/>
      <c r="CD6" s="926"/>
      <c r="CE6" s="926"/>
      <c r="CF6" s="926"/>
      <c r="CG6" s="926"/>
      <c r="CH6" s="926"/>
      <c r="CI6" s="926"/>
      <c r="CJ6" s="926"/>
      <c r="CK6" s="926" t="s">
        <v>899</v>
      </c>
      <c r="CL6" s="926"/>
      <c r="CM6" s="926"/>
      <c r="CN6" s="926"/>
      <c r="CO6" s="926"/>
      <c r="CP6" s="926"/>
      <c r="CQ6" s="926"/>
      <c r="CR6" s="926"/>
      <c r="CS6" s="926"/>
      <c r="CT6" s="926"/>
      <c r="CU6" s="926"/>
      <c r="CV6" s="926"/>
      <c r="CW6" s="926"/>
      <c r="CX6" s="933" t="s">
        <v>900</v>
      </c>
      <c r="CY6" s="933"/>
      <c r="CZ6" s="933"/>
      <c r="DA6" s="933"/>
      <c r="DB6" s="933"/>
      <c r="DC6" s="933"/>
      <c r="DD6" s="933"/>
      <c r="DE6" s="933"/>
      <c r="DF6" s="933"/>
      <c r="DG6" s="933"/>
      <c r="DH6" s="933"/>
      <c r="DI6" s="933"/>
      <c r="DJ6" s="933"/>
      <c r="DK6" s="933" t="s">
        <v>901</v>
      </c>
      <c r="DL6" s="933"/>
      <c r="DM6" s="933"/>
      <c r="DN6" s="933"/>
      <c r="DO6" s="933"/>
      <c r="DP6" s="933"/>
      <c r="DQ6" s="933"/>
      <c r="DR6" s="933"/>
      <c r="DS6" s="933"/>
      <c r="DT6" s="933"/>
      <c r="DU6" s="933"/>
      <c r="DV6" s="933"/>
      <c r="DW6" s="933"/>
      <c r="DX6" s="933" t="s">
        <v>902</v>
      </c>
      <c r="DY6" s="933"/>
      <c r="DZ6" s="933"/>
      <c r="EA6" s="933"/>
      <c r="EB6" s="933"/>
      <c r="EC6" s="933"/>
      <c r="ED6" s="933"/>
      <c r="EE6" s="933"/>
      <c r="EF6" s="933"/>
      <c r="EG6" s="933"/>
      <c r="EH6" s="933"/>
      <c r="EI6" s="933"/>
      <c r="EJ6" s="933"/>
      <c r="EK6" s="933" t="s">
        <v>903</v>
      </c>
      <c r="EL6" s="933"/>
      <c r="EM6" s="933"/>
      <c r="EN6" s="933"/>
      <c r="EO6" s="933"/>
      <c r="EP6" s="933"/>
      <c r="EQ6" s="933"/>
      <c r="ER6" s="933"/>
      <c r="ES6" s="933"/>
      <c r="ET6" s="933"/>
      <c r="EU6" s="933"/>
      <c r="EV6" s="933"/>
      <c r="EW6" s="933"/>
      <c r="EX6" s="933" t="s">
        <v>904</v>
      </c>
      <c r="EY6" s="933"/>
      <c r="EZ6" s="933"/>
      <c r="FA6" s="933"/>
      <c r="FB6" s="933"/>
      <c r="FC6" s="933"/>
      <c r="FD6" s="933"/>
      <c r="FE6" s="933"/>
      <c r="FF6" s="933"/>
      <c r="FG6" s="933"/>
      <c r="FH6" s="933"/>
      <c r="FI6" s="933"/>
      <c r="FJ6" s="933"/>
      <c r="FK6" s="927" t="s">
        <v>905</v>
      </c>
      <c r="FL6" s="927"/>
      <c r="FM6" s="927"/>
      <c r="FN6" s="927"/>
      <c r="FO6" s="927"/>
      <c r="FP6" s="927"/>
      <c r="FQ6" s="927"/>
      <c r="FR6" s="927"/>
      <c r="FS6" s="927"/>
      <c r="FT6" s="927"/>
      <c r="FU6" s="927"/>
      <c r="FV6" s="927"/>
      <c r="FW6" s="927"/>
      <c r="FX6" s="933" t="s">
        <v>906</v>
      </c>
      <c r="FY6" s="933"/>
      <c r="FZ6" s="933"/>
      <c r="GA6" s="933"/>
      <c r="GB6" s="933"/>
      <c r="GC6" s="933"/>
      <c r="GD6" s="933"/>
      <c r="GE6" s="933"/>
      <c r="GF6" s="933"/>
      <c r="GG6" s="933"/>
      <c r="GH6" s="933"/>
      <c r="GI6" s="933"/>
      <c r="GJ6" s="933"/>
      <c r="GK6" s="933" t="s">
        <v>907</v>
      </c>
      <c r="GL6" s="933"/>
      <c r="GM6" s="933"/>
      <c r="GN6" s="933"/>
      <c r="GO6" s="933"/>
      <c r="GP6" s="933"/>
      <c r="GQ6" s="933"/>
      <c r="GR6" s="933"/>
      <c r="GS6" s="933"/>
      <c r="GT6" s="933"/>
      <c r="GU6" s="933"/>
      <c r="GV6" s="933"/>
      <c r="GW6" s="933"/>
      <c r="GX6" s="933" t="s">
        <v>929</v>
      </c>
      <c r="GY6" s="933"/>
      <c r="GZ6" s="933"/>
      <c r="HA6" s="933"/>
      <c r="HB6" s="933"/>
    </row>
    <row r="7" spans="1:212" s="401" customFormat="1" ht="12" customHeight="1" thickBot="1">
      <c r="A7" s="78">
        <v>1</v>
      </c>
      <c r="B7" s="526">
        <v>2</v>
      </c>
      <c r="C7" s="526">
        <v>3</v>
      </c>
      <c r="D7" s="526">
        <v>4</v>
      </c>
      <c r="E7" s="526">
        <v>5</v>
      </c>
      <c r="F7" s="78">
        <v>6</v>
      </c>
      <c r="G7" s="527">
        <v>7</v>
      </c>
      <c r="H7" s="78">
        <v>8</v>
      </c>
      <c r="I7" s="527">
        <v>9</v>
      </c>
      <c r="J7" s="78">
        <v>10</v>
      </c>
      <c r="K7" s="527">
        <v>11</v>
      </c>
      <c r="L7" s="78">
        <v>12</v>
      </c>
      <c r="M7" s="527">
        <v>13</v>
      </c>
      <c r="N7" s="78">
        <v>14</v>
      </c>
      <c r="O7" s="527">
        <v>15</v>
      </c>
      <c r="P7" s="78">
        <v>16</v>
      </c>
      <c r="Q7" s="527">
        <v>17</v>
      </c>
      <c r="R7" s="78">
        <v>18</v>
      </c>
      <c r="S7" s="527">
        <v>19</v>
      </c>
      <c r="T7" s="78">
        <v>20</v>
      </c>
      <c r="U7" s="527">
        <v>21</v>
      </c>
      <c r="V7" s="78">
        <v>22</v>
      </c>
      <c r="W7" s="527">
        <v>23</v>
      </c>
      <c r="X7" s="78">
        <v>24</v>
      </c>
      <c r="Y7" s="527">
        <v>25</v>
      </c>
      <c r="Z7" s="78">
        <v>26</v>
      </c>
      <c r="AA7" s="527">
        <v>27</v>
      </c>
      <c r="AB7" s="78">
        <v>28</v>
      </c>
      <c r="AC7" s="527">
        <v>29</v>
      </c>
      <c r="AD7" s="78">
        <v>30</v>
      </c>
      <c r="AE7" s="527">
        <v>31</v>
      </c>
      <c r="AF7" s="78">
        <v>32</v>
      </c>
      <c r="AG7" s="527">
        <v>33</v>
      </c>
      <c r="AH7" s="78">
        <v>34</v>
      </c>
      <c r="AI7" s="527">
        <v>35</v>
      </c>
      <c r="AJ7" s="78">
        <v>36</v>
      </c>
      <c r="AK7" s="527">
        <v>37</v>
      </c>
      <c r="AL7" s="78">
        <v>38</v>
      </c>
      <c r="AM7" s="527">
        <v>39</v>
      </c>
      <c r="AN7" s="78">
        <v>40</v>
      </c>
      <c r="AO7" s="527">
        <v>41</v>
      </c>
      <c r="AP7" s="78">
        <v>42</v>
      </c>
      <c r="AQ7" s="527">
        <v>43</v>
      </c>
      <c r="AR7" s="78">
        <v>44</v>
      </c>
      <c r="AS7" s="527">
        <v>45</v>
      </c>
      <c r="AT7" s="78">
        <v>46</v>
      </c>
      <c r="AU7" s="527">
        <v>47</v>
      </c>
      <c r="AV7" s="78">
        <v>48</v>
      </c>
      <c r="AW7" s="527">
        <v>49</v>
      </c>
      <c r="AX7" s="78">
        <v>50</v>
      </c>
      <c r="AY7" s="527">
        <v>51</v>
      </c>
      <c r="AZ7" s="78">
        <v>52</v>
      </c>
      <c r="BA7" s="527">
        <v>53</v>
      </c>
      <c r="BB7" s="78">
        <v>54</v>
      </c>
      <c r="BC7" s="527">
        <v>55</v>
      </c>
      <c r="BD7" s="78">
        <v>56</v>
      </c>
      <c r="BE7" s="527">
        <v>57</v>
      </c>
      <c r="BF7" s="78">
        <v>58</v>
      </c>
      <c r="BG7" s="527">
        <v>59</v>
      </c>
      <c r="BH7" s="78">
        <v>60</v>
      </c>
      <c r="BI7" s="527">
        <v>61</v>
      </c>
      <c r="BJ7" s="78">
        <v>62</v>
      </c>
      <c r="BK7" s="527">
        <v>63</v>
      </c>
      <c r="BL7" s="78">
        <v>64</v>
      </c>
      <c r="BM7" s="527">
        <v>65</v>
      </c>
      <c r="BN7" s="78">
        <v>66</v>
      </c>
      <c r="BO7" s="527">
        <v>67</v>
      </c>
      <c r="BP7" s="78">
        <v>68</v>
      </c>
      <c r="BQ7" s="527">
        <v>69</v>
      </c>
      <c r="BR7" s="78">
        <v>70</v>
      </c>
      <c r="BS7" s="527">
        <v>71</v>
      </c>
      <c r="BT7" s="78">
        <v>72</v>
      </c>
      <c r="BU7" s="527">
        <v>73</v>
      </c>
      <c r="BV7" s="78">
        <v>74</v>
      </c>
      <c r="BW7" s="527">
        <v>75</v>
      </c>
      <c r="BX7" s="78">
        <v>76</v>
      </c>
      <c r="BY7" s="527">
        <v>77</v>
      </c>
      <c r="BZ7" s="78">
        <v>78</v>
      </c>
      <c r="CA7" s="527">
        <v>79</v>
      </c>
      <c r="CB7" s="78">
        <v>80</v>
      </c>
      <c r="CC7" s="527">
        <v>81</v>
      </c>
      <c r="CD7" s="78">
        <v>82</v>
      </c>
      <c r="CE7" s="527">
        <v>83</v>
      </c>
      <c r="CF7" s="78">
        <v>84</v>
      </c>
      <c r="CG7" s="527">
        <v>85</v>
      </c>
      <c r="CH7" s="78">
        <v>86</v>
      </c>
      <c r="CI7" s="527">
        <v>87</v>
      </c>
      <c r="CJ7" s="78">
        <v>88</v>
      </c>
      <c r="CK7" s="527">
        <v>89</v>
      </c>
      <c r="CL7" s="78">
        <v>90</v>
      </c>
      <c r="CM7" s="527">
        <v>91</v>
      </c>
      <c r="CN7" s="78">
        <v>92</v>
      </c>
      <c r="CO7" s="527">
        <v>93</v>
      </c>
      <c r="CP7" s="78">
        <v>94</v>
      </c>
      <c r="CQ7" s="527">
        <v>95</v>
      </c>
      <c r="CR7" s="78">
        <v>96</v>
      </c>
      <c r="CS7" s="527">
        <v>97</v>
      </c>
      <c r="CT7" s="78">
        <v>98</v>
      </c>
      <c r="CU7" s="527">
        <v>99</v>
      </c>
      <c r="CV7" s="78">
        <v>100</v>
      </c>
      <c r="CW7" s="527">
        <v>101</v>
      </c>
      <c r="CX7" s="78">
        <v>102</v>
      </c>
      <c r="CY7" s="527">
        <v>103</v>
      </c>
      <c r="CZ7" s="78">
        <v>104</v>
      </c>
      <c r="DA7" s="527">
        <v>105</v>
      </c>
      <c r="DB7" s="78">
        <v>106</v>
      </c>
      <c r="DC7" s="527">
        <v>107</v>
      </c>
      <c r="DD7" s="78">
        <v>108</v>
      </c>
      <c r="DE7" s="527">
        <v>109</v>
      </c>
      <c r="DF7" s="78">
        <v>110</v>
      </c>
      <c r="DG7" s="527">
        <v>111</v>
      </c>
      <c r="DH7" s="78">
        <v>112</v>
      </c>
      <c r="DI7" s="527">
        <v>113</v>
      </c>
      <c r="DJ7" s="78">
        <v>114</v>
      </c>
      <c r="DK7" s="527">
        <v>115</v>
      </c>
      <c r="DL7" s="78">
        <v>116</v>
      </c>
      <c r="DM7" s="527">
        <v>117</v>
      </c>
      <c r="DN7" s="78">
        <v>118</v>
      </c>
      <c r="DO7" s="527">
        <v>119</v>
      </c>
      <c r="DP7" s="78">
        <v>120</v>
      </c>
      <c r="DQ7" s="527">
        <v>121</v>
      </c>
      <c r="DR7" s="78">
        <v>122</v>
      </c>
      <c r="DS7" s="527">
        <v>123</v>
      </c>
      <c r="DT7" s="78">
        <v>124</v>
      </c>
      <c r="DU7" s="527">
        <v>125</v>
      </c>
      <c r="DV7" s="78">
        <v>126</v>
      </c>
      <c r="DW7" s="527">
        <v>127</v>
      </c>
      <c r="DX7" s="78">
        <v>128</v>
      </c>
      <c r="DY7" s="527">
        <v>129</v>
      </c>
      <c r="DZ7" s="78">
        <v>130</v>
      </c>
      <c r="EA7" s="527">
        <v>131</v>
      </c>
      <c r="EB7" s="78">
        <v>132</v>
      </c>
      <c r="EC7" s="527">
        <v>133</v>
      </c>
      <c r="ED7" s="78">
        <v>134</v>
      </c>
      <c r="EE7" s="527">
        <v>135</v>
      </c>
      <c r="EF7" s="78">
        <v>136</v>
      </c>
      <c r="EG7" s="527">
        <v>137</v>
      </c>
      <c r="EH7" s="78">
        <v>138</v>
      </c>
      <c r="EI7" s="527">
        <v>139</v>
      </c>
      <c r="EJ7" s="78">
        <v>140</v>
      </c>
      <c r="EK7" s="527">
        <v>141</v>
      </c>
      <c r="EL7" s="78">
        <v>142</v>
      </c>
      <c r="EM7" s="527">
        <v>143</v>
      </c>
      <c r="EN7" s="78">
        <v>144</v>
      </c>
      <c r="EO7" s="527">
        <v>145</v>
      </c>
      <c r="EP7" s="78">
        <v>146</v>
      </c>
      <c r="EQ7" s="527">
        <v>147</v>
      </c>
      <c r="ER7" s="78">
        <v>148</v>
      </c>
      <c r="ES7" s="527">
        <v>149</v>
      </c>
      <c r="ET7" s="78">
        <v>150</v>
      </c>
      <c r="EU7" s="527">
        <v>151</v>
      </c>
      <c r="EV7" s="78">
        <v>152</v>
      </c>
      <c r="EW7" s="527">
        <v>153</v>
      </c>
      <c r="EX7" s="78">
        <v>154</v>
      </c>
      <c r="EY7" s="527">
        <v>155</v>
      </c>
      <c r="EZ7" s="78">
        <v>156</v>
      </c>
      <c r="FA7" s="527">
        <v>157</v>
      </c>
      <c r="FB7" s="78">
        <v>158</v>
      </c>
      <c r="FC7" s="527">
        <v>159</v>
      </c>
      <c r="FD7" s="78">
        <v>160</v>
      </c>
      <c r="FE7" s="527">
        <v>161</v>
      </c>
      <c r="FF7" s="78">
        <v>162</v>
      </c>
      <c r="FG7" s="527">
        <v>163</v>
      </c>
      <c r="FH7" s="78">
        <v>164</v>
      </c>
      <c r="FI7" s="527">
        <v>165</v>
      </c>
      <c r="FJ7" s="78">
        <v>166</v>
      </c>
      <c r="FK7" s="527">
        <v>167</v>
      </c>
      <c r="FL7" s="78">
        <v>168</v>
      </c>
      <c r="FM7" s="527">
        <v>169</v>
      </c>
      <c r="FN7" s="78">
        <v>170</v>
      </c>
      <c r="FO7" s="527">
        <v>171</v>
      </c>
      <c r="FP7" s="78">
        <v>172</v>
      </c>
      <c r="FQ7" s="527">
        <v>173</v>
      </c>
      <c r="FR7" s="78">
        <v>174</v>
      </c>
      <c r="FS7" s="527">
        <v>175</v>
      </c>
      <c r="FT7" s="78">
        <v>176</v>
      </c>
      <c r="FU7" s="527">
        <v>177</v>
      </c>
      <c r="FV7" s="78">
        <v>178</v>
      </c>
      <c r="FW7" s="527">
        <v>179</v>
      </c>
      <c r="FX7" s="78">
        <v>180</v>
      </c>
      <c r="FY7" s="527">
        <v>181</v>
      </c>
      <c r="FZ7" s="78">
        <v>182</v>
      </c>
      <c r="GA7" s="527">
        <v>183</v>
      </c>
      <c r="GB7" s="78">
        <v>184</v>
      </c>
      <c r="GC7" s="527">
        <v>185</v>
      </c>
      <c r="GD7" s="78">
        <v>186</v>
      </c>
      <c r="GE7" s="527">
        <v>187</v>
      </c>
      <c r="GF7" s="78">
        <v>188</v>
      </c>
      <c r="GG7" s="527">
        <v>189</v>
      </c>
      <c r="GH7" s="78">
        <v>190</v>
      </c>
      <c r="GI7" s="527">
        <v>191</v>
      </c>
      <c r="GJ7" s="78">
        <v>192</v>
      </c>
      <c r="GK7" s="527">
        <v>193</v>
      </c>
      <c r="GL7" s="78">
        <v>194</v>
      </c>
      <c r="GM7" s="527">
        <v>195</v>
      </c>
      <c r="GN7" s="78">
        <v>196</v>
      </c>
      <c r="GO7" s="527">
        <v>197</v>
      </c>
      <c r="GP7" s="78">
        <v>198</v>
      </c>
      <c r="GQ7" s="527">
        <v>199</v>
      </c>
      <c r="GR7" s="78">
        <v>200</v>
      </c>
      <c r="GS7" s="527">
        <v>201</v>
      </c>
      <c r="GT7" s="78">
        <v>202</v>
      </c>
      <c r="GU7" s="527">
        <v>203</v>
      </c>
      <c r="GV7" s="78">
        <v>204</v>
      </c>
      <c r="GW7" s="527">
        <v>205</v>
      </c>
      <c r="GX7" s="78">
        <v>206</v>
      </c>
      <c r="GY7" s="527">
        <v>207</v>
      </c>
      <c r="GZ7" s="78">
        <v>208</v>
      </c>
      <c r="HA7" s="527">
        <v>209</v>
      </c>
      <c r="HB7" s="78">
        <v>210</v>
      </c>
    </row>
    <row r="8" spans="1:212" ht="16.2" thickBot="1">
      <c r="A8" s="79" t="s">
        <v>3</v>
      </c>
      <c r="B8" s="80" t="s">
        <v>85</v>
      </c>
      <c r="C8" s="81" t="s">
        <v>86</v>
      </c>
      <c r="D8" s="80" t="s">
        <v>818</v>
      </c>
      <c r="E8" s="82" t="s">
        <v>89</v>
      </c>
      <c r="F8" s="82" t="s">
        <v>90</v>
      </c>
      <c r="G8" s="82" t="s">
        <v>91</v>
      </c>
      <c r="H8" s="82" t="s">
        <v>92</v>
      </c>
      <c r="I8" s="82" t="s">
        <v>93</v>
      </c>
      <c r="J8" s="82" t="s">
        <v>94</v>
      </c>
      <c r="K8" s="82" t="s">
        <v>95</v>
      </c>
      <c r="L8" s="82" t="s">
        <v>96</v>
      </c>
      <c r="M8" s="82" t="s">
        <v>97</v>
      </c>
      <c r="N8" s="82" t="s">
        <v>98</v>
      </c>
      <c r="O8" s="82" t="s">
        <v>99</v>
      </c>
      <c r="P8" s="82" t="s">
        <v>100</v>
      </c>
      <c r="Q8" s="82" t="s">
        <v>101</v>
      </c>
      <c r="R8" s="82" t="s">
        <v>65</v>
      </c>
      <c r="S8" s="82" t="s">
        <v>65</v>
      </c>
      <c r="T8" s="83" t="s">
        <v>103</v>
      </c>
      <c r="U8" s="83" t="s">
        <v>104</v>
      </c>
      <c r="V8" s="83" t="s">
        <v>105</v>
      </c>
      <c r="W8" s="83" t="s">
        <v>106</v>
      </c>
      <c r="X8" s="81" t="s">
        <v>107</v>
      </c>
      <c r="Y8" s="83" t="s">
        <v>108</v>
      </c>
      <c r="Z8" s="83" t="s">
        <v>109</v>
      </c>
      <c r="AA8" s="83" t="s">
        <v>21</v>
      </c>
      <c r="AB8" s="83" t="s">
        <v>67</v>
      </c>
      <c r="AC8" s="529" t="s">
        <v>3</v>
      </c>
      <c r="AD8" s="530" t="s">
        <v>908</v>
      </c>
      <c r="AE8" s="530" t="s">
        <v>909</v>
      </c>
      <c r="AF8" s="529" t="s">
        <v>3</v>
      </c>
      <c r="AG8" s="529" t="s">
        <v>21</v>
      </c>
      <c r="AH8" s="529" t="s">
        <v>36</v>
      </c>
      <c r="AI8" s="361" t="s">
        <v>89</v>
      </c>
      <c r="AJ8" s="361" t="s">
        <v>90</v>
      </c>
      <c r="AK8" s="361" t="s">
        <v>91</v>
      </c>
      <c r="AL8" s="361" t="s">
        <v>92</v>
      </c>
      <c r="AM8" s="361" t="s">
        <v>93</v>
      </c>
      <c r="AN8" s="361" t="s">
        <v>94</v>
      </c>
      <c r="AO8" s="361" t="s">
        <v>95</v>
      </c>
      <c r="AP8" s="361" t="s">
        <v>96</v>
      </c>
      <c r="AQ8" s="361" t="s">
        <v>97</v>
      </c>
      <c r="AR8" s="361" t="s">
        <v>98</v>
      </c>
      <c r="AS8" s="361" t="s">
        <v>99</v>
      </c>
      <c r="AT8" s="361" t="s">
        <v>100</v>
      </c>
      <c r="AU8" s="362" t="s">
        <v>101</v>
      </c>
      <c r="AV8" s="532" t="s">
        <v>65</v>
      </c>
      <c r="AW8" s="361" t="s">
        <v>89</v>
      </c>
      <c r="AX8" s="361" t="s">
        <v>90</v>
      </c>
      <c r="AY8" s="361" t="s">
        <v>91</v>
      </c>
      <c r="AZ8" s="361" t="s">
        <v>92</v>
      </c>
      <c r="BA8" s="361" t="s">
        <v>93</v>
      </c>
      <c r="BB8" s="361" t="s">
        <v>94</v>
      </c>
      <c r="BC8" s="361" t="s">
        <v>95</v>
      </c>
      <c r="BD8" s="361" t="s">
        <v>96</v>
      </c>
      <c r="BE8" s="361" t="s">
        <v>97</v>
      </c>
      <c r="BF8" s="361" t="s">
        <v>98</v>
      </c>
      <c r="BG8" s="361" t="s">
        <v>99</v>
      </c>
      <c r="BH8" s="361" t="s">
        <v>100</v>
      </c>
      <c r="BI8" s="359" t="s">
        <v>101</v>
      </c>
      <c r="BJ8" s="532" t="s">
        <v>910</v>
      </c>
      <c r="BK8" s="361" t="s">
        <v>89</v>
      </c>
      <c r="BL8" s="361" t="s">
        <v>90</v>
      </c>
      <c r="BM8" s="361" t="s">
        <v>91</v>
      </c>
      <c r="BN8" s="361" t="s">
        <v>92</v>
      </c>
      <c r="BO8" s="361" t="s">
        <v>93</v>
      </c>
      <c r="BP8" s="361" t="s">
        <v>94</v>
      </c>
      <c r="BQ8" s="361" t="s">
        <v>95</v>
      </c>
      <c r="BR8" s="361" t="s">
        <v>96</v>
      </c>
      <c r="BS8" s="361" t="s">
        <v>97</v>
      </c>
      <c r="BT8" s="361" t="s">
        <v>98</v>
      </c>
      <c r="BU8" s="361" t="s">
        <v>99</v>
      </c>
      <c r="BV8" s="361" t="s">
        <v>100</v>
      </c>
      <c r="BW8" s="359" t="s">
        <v>101</v>
      </c>
      <c r="BX8" s="532" t="s">
        <v>65</v>
      </c>
      <c r="BY8" s="361" t="s">
        <v>90</v>
      </c>
      <c r="BZ8" s="361" t="s">
        <v>91</v>
      </c>
      <c r="CA8" s="361" t="s">
        <v>92</v>
      </c>
      <c r="CB8" s="361" t="s">
        <v>93</v>
      </c>
      <c r="CC8" s="361" t="s">
        <v>94</v>
      </c>
      <c r="CD8" s="361" t="s">
        <v>95</v>
      </c>
      <c r="CE8" s="361" t="s">
        <v>96</v>
      </c>
      <c r="CF8" s="361" t="s">
        <v>97</v>
      </c>
      <c r="CG8" s="361" t="s">
        <v>98</v>
      </c>
      <c r="CH8" s="361" t="s">
        <v>99</v>
      </c>
      <c r="CI8" s="361" t="s">
        <v>100</v>
      </c>
      <c r="CJ8" s="359" t="s">
        <v>101</v>
      </c>
      <c r="CK8" s="532" t="s">
        <v>910</v>
      </c>
      <c r="CL8" s="361" t="s">
        <v>90</v>
      </c>
      <c r="CM8" s="361" t="s">
        <v>91</v>
      </c>
      <c r="CN8" s="361" t="s">
        <v>92</v>
      </c>
      <c r="CO8" s="361" t="s">
        <v>93</v>
      </c>
      <c r="CP8" s="361" t="s">
        <v>94</v>
      </c>
      <c r="CQ8" s="361" t="s">
        <v>95</v>
      </c>
      <c r="CR8" s="361" t="s">
        <v>96</v>
      </c>
      <c r="CS8" s="361" t="s">
        <v>97</v>
      </c>
      <c r="CT8" s="361" t="s">
        <v>98</v>
      </c>
      <c r="CU8" s="361" t="s">
        <v>99</v>
      </c>
      <c r="CV8" s="361" t="s">
        <v>100</v>
      </c>
      <c r="CW8" s="362" t="s">
        <v>101</v>
      </c>
      <c r="CX8" s="531" t="s">
        <v>876</v>
      </c>
      <c r="CY8" s="361" t="s">
        <v>90</v>
      </c>
      <c r="CZ8" s="361" t="s">
        <v>91</v>
      </c>
      <c r="DA8" s="361" t="s">
        <v>92</v>
      </c>
      <c r="DB8" s="361" t="s">
        <v>93</v>
      </c>
      <c r="DC8" s="361" t="s">
        <v>94</v>
      </c>
      <c r="DD8" s="361" t="s">
        <v>95</v>
      </c>
      <c r="DE8" s="361" t="s">
        <v>96</v>
      </c>
      <c r="DF8" s="361" t="s">
        <v>97</v>
      </c>
      <c r="DG8" s="361" t="s">
        <v>98</v>
      </c>
      <c r="DH8" s="361" t="s">
        <v>99</v>
      </c>
      <c r="DI8" s="361" t="s">
        <v>100</v>
      </c>
      <c r="DJ8" s="359" t="s">
        <v>101</v>
      </c>
      <c r="DK8" s="532" t="s">
        <v>911</v>
      </c>
      <c r="DL8" s="361" t="s">
        <v>90</v>
      </c>
      <c r="DM8" s="361" t="s">
        <v>91</v>
      </c>
      <c r="DN8" s="361" t="s">
        <v>92</v>
      </c>
      <c r="DO8" s="361" t="s">
        <v>93</v>
      </c>
      <c r="DP8" s="361" t="s">
        <v>94</v>
      </c>
      <c r="DQ8" s="361" t="s">
        <v>95</v>
      </c>
      <c r="DR8" s="361" t="s">
        <v>96</v>
      </c>
      <c r="DS8" s="361" t="s">
        <v>97</v>
      </c>
      <c r="DT8" s="361" t="s">
        <v>98</v>
      </c>
      <c r="DU8" s="361" t="s">
        <v>99</v>
      </c>
      <c r="DV8" s="361" t="s">
        <v>100</v>
      </c>
      <c r="DW8" s="362" t="s">
        <v>101</v>
      </c>
      <c r="DX8" s="531" t="s">
        <v>912</v>
      </c>
      <c r="DY8" s="361" t="s">
        <v>90</v>
      </c>
      <c r="DZ8" s="361" t="s">
        <v>91</v>
      </c>
      <c r="EA8" s="361" t="s">
        <v>92</v>
      </c>
      <c r="EB8" s="361" t="s">
        <v>93</v>
      </c>
      <c r="EC8" s="361" t="s">
        <v>94</v>
      </c>
      <c r="ED8" s="361" t="s">
        <v>95</v>
      </c>
      <c r="EE8" s="361" t="s">
        <v>96</v>
      </c>
      <c r="EF8" s="361" t="s">
        <v>97</v>
      </c>
      <c r="EG8" s="361" t="s">
        <v>98</v>
      </c>
      <c r="EH8" s="361" t="s">
        <v>99</v>
      </c>
      <c r="EI8" s="361" t="s">
        <v>100</v>
      </c>
      <c r="EJ8" s="359" t="s">
        <v>101</v>
      </c>
      <c r="EK8" s="532" t="s">
        <v>913</v>
      </c>
      <c r="EL8" s="361" t="s">
        <v>90</v>
      </c>
      <c r="EM8" s="361" t="s">
        <v>91</v>
      </c>
      <c r="EN8" s="361" t="s">
        <v>92</v>
      </c>
      <c r="EO8" s="361" t="s">
        <v>93</v>
      </c>
      <c r="EP8" s="361" t="s">
        <v>94</v>
      </c>
      <c r="EQ8" s="361" t="s">
        <v>95</v>
      </c>
      <c r="ER8" s="361" t="s">
        <v>96</v>
      </c>
      <c r="ES8" s="361" t="s">
        <v>97</v>
      </c>
      <c r="ET8" s="361" t="s">
        <v>98</v>
      </c>
      <c r="EU8" s="361" t="s">
        <v>99</v>
      </c>
      <c r="EV8" s="361" t="s">
        <v>100</v>
      </c>
      <c r="EW8" s="362" t="s">
        <v>101</v>
      </c>
      <c r="EX8" s="531" t="s">
        <v>914</v>
      </c>
      <c r="EY8" s="361" t="s">
        <v>90</v>
      </c>
      <c r="EZ8" s="361" t="s">
        <v>91</v>
      </c>
      <c r="FA8" s="361" t="s">
        <v>92</v>
      </c>
      <c r="FB8" s="361" t="s">
        <v>93</v>
      </c>
      <c r="FC8" s="361" t="s">
        <v>94</v>
      </c>
      <c r="FD8" s="361" t="s">
        <v>95</v>
      </c>
      <c r="FE8" s="361" t="s">
        <v>96</v>
      </c>
      <c r="FF8" s="361" t="s">
        <v>97</v>
      </c>
      <c r="FG8" s="361" t="s">
        <v>98</v>
      </c>
      <c r="FH8" s="361" t="s">
        <v>99</v>
      </c>
      <c r="FI8" s="361" t="s">
        <v>100</v>
      </c>
      <c r="FJ8" s="359" t="s">
        <v>101</v>
      </c>
      <c r="FK8" s="533" t="s">
        <v>915</v>
      </c>
      <c r="FL8" s="361" t="s">
        <v>115</v>
      </c>
      <c r="FM8" s="361" t="s">
        <v>116</v>
      </c>
      <c r="FN8" s="361" t="s">
        <v>117</v>
      </c>
      <c r="FO8" s="361" t="s">
        <v>118</v>
      </c>
      <c r="FP8" s="361" t="s">
        <v>119</v>
      </c>
      <c r="FQ8" s="361" t="s">
        <v>120</v>
      </c>
      <c r="FR8" s="361" t="s">
        <v>121</v>
      </c>
      <c r="FS8" s="361" t="s">
        <v>122</v>
      </c>
      <c r="FT8" s="361" t="s">
        <v>123</v>
      </c>
      <c r="FU8" s="361" t="s">
        <v>124</v>
      </c>
      <c r="FV8" s="361" t="s">
        <v>125</v>
      </c>
      <c r="FW8" s="362" t="s">
        <v>126</v>
      </c>
      <c r="FX8" s="531" t="s">
        <v>876</v>
      </c>
      <c r="FY8" s="361" t="s">
        <v>90</v>
      </c>
      <c r="FZ8" s="361" t="s">
        <v>91</v>
      </c>
      <c r="GA8" s="361" t="s">
        <v>92</v>
      </c>
      <c r="GB8" s="361" t="s">
        <v>93</v>
      </c>
      <c r="GC8" s="361" t="s">
        <v>94</v>
      </c>
      <c r="GD8" s="361" t="s">
        <v>95</v>
      </c>
      <c r="GE8" s="361" t="s">
        <v>96</v>
      </c>
      <c r="GF8" s="361" t="s">
        <v>97</v>
      </c>
      <c r="GG8" s="361" t="s">
        <v>98</v>
      </c>
      <c r="GH8" s="361" t="s">
        <v>99</v>
      </c>
      <c r="GI8" s="361" t="s">
        <v>100</v>
      </c>
      <c r="GJ8" s="359" t="s">
        <v>101</v>
      </c>
      <c r="GK8" s="532" t="s">
        <v>911</v>
      </c>
      <c r="GL8" s="361" t="s">
        <v>90</v>
      </c>
      <c r="GM8" s="361" t="s">
        <v>91</v>
      </c>
      <c r="GN8" s="361" t="s">
        <v>92</v>
      </c>
      <c r="GO8" s="361" t="s">
        <v>93</v>
      </c>
      <c r="GP8" s="361" t="s">
        <v>94</v>
      </c>
      <c r="GQ8" s="361" t="s">
        <v>95</v>
      </c>
      <c r="GR8" s="361" t="s">
        <v>96</v>
      </c>
      <c r="GS8" s="361" t="s">
        <v>97</v>
      </c>
      <c r="GT8" s="361" t="s">
        <v>98</v>
      </c>
      <c r="GU8" s="361" t="s">
        <v>99</v>
      </c>
      <c r="GV8" s="361" t="s">
        <v>100</v>
      </c>
      <c r="GW8" s="362" t="s">
        <v>101</v>
      </c>
      <c r="GX8" s="532" t="s">
        <v>912</v>
      </c>
      <c r="GY8" s="368" t="s">
        <v>108</v>
      </c>
      <c r="GZ8" s="368" t="s">
        <v>918</v>
      </c>
      <c r="HA8" s="368" t="s">
        <v>919</v>
      </c>
      <c r="HB8" s="368" t="s">
        <v>920</v>
      </c>
      <c r="HC8" s="530"/>
      <c r="HD8" s="530"/>
    </row>
    <row r="9" spans="1:212" ht="14.25" customHeight="1">
      <c r="A9" s="78">
        <v>1</v>
      </c>
      <c r="B9" s="937" t="s">
        <v>57</v>
      </c>
      <c r="C9" s="941" t="s">
        <v>55</v>
      </c>
      <c r="D9" s="663" t="s">
        <v>128</v>
      </c>
      <c r="E9" s="664">
        <v>1790</v>
      </c>
      <c r="F9" s="664">
        <v>1948</v>
      </c>
      <c r="G9" s="664">
        <v>2009</v>
      </c>
      <c r="H9" s="664"/>
      <c r="I9" s="664"/>
      <c r="J9" s="664"/>
      <c r="K9" s="664"/>
      <c r="L9" s="664"/>
      <c r="M9" s="664"/>
      <c r="N9" s="664"/>
      <c r="O9" s="664"/>
      <c r="P9" s="664"/>
      <c r="Q9" s="665"/>
      <c r="R9" s="89"/>
      <c r="S9" s="90"/>
      <c r="T9" s="90">
        <v>1400</v>
      </c>
      <c r="U9" s="90">
        <v>15000</v>
      </c>
      <c r="V9" s="90">
        <v>0</v>
      </c>
      <c r="W9" s="90">
        <v>0</v>
      </c>
      <c r="X9" s="21" t="s">
        <v>131</v>
      </c>
      <c r="Y9" s="90">
        <v>0</v>
      </c>
      <c r="Z9" s="90">
        <v>3000</v>
      </c>
      <c r="AA9" s="498" t="str">
        <f>C9</f>
        <v>A1</v>
      </c>
      <c r="AB9" s="90" t="s">
        <v>132</v>
      </c>
      <c r="AC9" s="534">
        <v>1</v>
      </c>
      <c r="AD9" s="534">
        <v>1</v>
      </c>
      <c r="AE9" s="534"/>
      <c r="AF9" s="534">
        <v>1</v>
      </c>
      <c r="AG9" s="535" t="s">
        <v>55</v>
      </c>
      <c r="AH9" s="535" t="str">
        <f>B9</f>
        <v>Nguyễn Phi Cường</v>
      </c>
      <c r="AI9" s="497">
        <v>1868000</v>
      </c>
      <c r="AJ9" s="497">
        <f t="shared" ref="AJ9:AJ28" si="0">IF(BY$38&lt;=0,0,FL9+BY9*CY9+CL9*DL9+DY9+EL9+EY9)</f>
        <v>1989000</v>
      </c>
      <c r="AK9" s="497">
        <f t="shared" ref="AK9:AK28" si="1">IF(BZ$38&lt;=0,0,FM9+BZ9*CZ9+CM9*DM9+DZ9+EM9+EZ9)</f>
        <v>1858000</v>
      </c>
      <c r="AL9" s="497">
        <f t="shared" ref="AL9:AL28" si="2">IF(CA$38&lt;=0,0,FN9+CA9*DA9+CN9*DN9+EA9+EN9+FA9)</f>
        <v>0</v>
      </c>
      <c r="AM9" s="497">
        <f t="shared" ref="AM9:AM28" si="3">IF(CB$38&lt;=0,0,FO9+CB9*DB9+CO9*DO9+EB9+EO9+FB9)</f>
        <v>0</v>
      </c>
      <c r="AN9" s="497">
        <f t="shared" ref="AN9:AN28" si="4">IF(CC$38&lt;=0,0,FP9+CC9*DC9+CP9*DP9+EC9+EP9+FC9)</f>
        <v>0</v>
      </c>
      <c r="AO9" s="497">
        <f t="shared" ref="AO9:AO28" si="5">IF(CD$38&lt;=0,0,FQ9+CD9*DD9+CQ9*DQ9+ED9+EQ9+FD9)</f>
        <v>0</v>
      </c>
      <c r="AP9" s="497">
        <f t="shared" ref="AP9:AP28" si="6">IF(CE$38&lt;=0,0,FR9+CE9*DE9+CR9*DR9+EE9+ER9+FE9)</f>
        <v>0</v>
      </c>
      <c r="AQ9" s="497">
        <f t="shared" ref="AQ9:AQ28" si="7">IF(CF$38&lt;=0,0,FS9+CF9*DF9+CS9*DS9+EF9+ES9+FF9)</f>
        <v>0</v>
      </c>
      <c r="AR9" s="497">
        <f t="shared" ref="AR9:AR28" si="8">IF(CG$38&lt;=0,0,FT9+CG9*DG9+CT9*DT9+EG9+ET9+FG9)</f>
        <v>0</v>
      </c>
      <c r="AS9" s="497">
        <f t="shared" ref="AS9:AS28" si="9">IF(CH$38&lt;=0,0,FU9+CH9*DH9+CU9*DU9+EH9+EU9+FH9)</f>
        <v>0</v>
      </c>
      <c r="AT9" s="497">
        <f t="shared" ref="AT9:AT28" si="10">IF(CI$38&lt;=0,0,FV9+CI9*DI9+CV9*DV9+EI9+EV9+FI9)</f>
        <v>0</v>
      </c>
      <c r="AU9" s="536">
        <f t="shared" ref="AU9:AU28" si="11">IF(CJ$38&lt;=0,0,FW9+CJ9*DJ9+CW9*DW9+EJ9+EW9+FJ9)</f>
        <v>0</v>
      </c>
      <c r="AV9" s="537" t="s">
        <v>55</v>
      </c>
      <c r="AW9" s="497">
        <f t="shared" ref="AW9:BI9" si="12">E9</f>
        <v>1790</v>
      </c>
      <c r="AX9" s="497">
        <f t="shared" si="12"/>
        <v>1948</v>
      </c>
      <c r="AY9" s="497">
        <f t="shared" si="12"/>
        <v>2009</v>
      </c>
      <c r="AZ9" s="497">
        <f t="shared" si="12"/>
        <v>0</v>
      </c>
      <c r="BA9" s="497">
        <f t="shared" si="12"/>
        <v>0</v>
      </c>
      <c r="BB9" s="497">
        <f t="shared" si="12"/>
        <v>0</v>
      </c>
      <c r="BC9" s="497">
        <f t="shared" si="12"/>
        <v>0</v>
      </c>
      <c r="BD9" s="497">
        <f t="shared" si="12"/>
        <v>0</v>
      </c>
      <c r="BE9" s="497">
        <f t="shared" si="12"/>
        <v>0</v>
      </c>
      <c r="BF9" s="497">
        <f t="shared" si="12"/>
        <v>0</v>
      </c>
      <c r="BG9" s="497">
        <f t="shared" si="12"/>
        <v>0</v>
      </c>
      <c r="BH9" s="497">
        <f t="shared" si="12"/>
        <v>0</v>
      </c>
      <c r="BI9" s="524">
        <f t="shared" si="12"/>
        <v>0</v>
      </c>
      <c r="BJ9" s="537" t="s">
        <v>55</v>
      </c>
      <c r="BK9" s="497">
        <f t="shared" ref="BK9:BW9" si="13">E10</f>
        <v>11</v>
      </c>
      <c r="BL9" s="497">
        <f t="shared" si="13"/>
        <v>21</v>
      </c>
      <c r="BM9" s="497">
        <f t="shared" si="13"/>
        <v>34</v>
      </c>
      <c r="BN9" s="497">
        <f t="shared" si="13"/>
        <v>0</v>
      </c>
      <c r="BO9" s="497">
        <f t="shared" si="13"/>
        <v>0</v>
      </c>
      <c r="BP9" s="497">
        <f t="shared" si="13"/>
        <v>0</v>
      </c>
      <c r="BQ9" s="497">
        <f t="shared" si="13"/>
        <v>0</v>
      </c>
      <c r="BR9" s="497">
        <f t="shared" si="13"/>
        <v>0</v>
      </c>
      <c r="BS9" s="497">
        <f t="shared" si="13"/>
        <v>0</v>
      </c>
      <c r="BT9" s="497">
        <f t="shared" si="13"/>
        <v>0</v>
      </c>
      <c r="BU9" s="497">
        <f t="shared" si="13"/>
        <v>0</v>
      </c>
      <c r="BV9" s="497">
        <f t="shared" si="13"/>
        <v>0</v>
      </c>
      <c r="BW9" s="524">
        <f t="shared" si="13"/>
        <v>0</v>
      </c>
      <c r="BX9" s="537" t="s">
        <v>55</v>
      </c>
      <c r="BY9" s="497">
        <f>IF(AX9=0,0,AX9-AW9)</f>
        <v>158</v>
      </c>
      <c r="BZ9" s="497">
        <f t="shared" ref="BZ9:CJ24" si="14">IF(AY9=0,0,AY9-AX9)</f>
        <v>61</v>
      </c>
      <c r="CA9" s="497">
        <f t="shared" si="14"/>
        <v>0</v>
      </c>
      <c r="CB9" s="497">
        <f t="shared" si="14"/>
        <v>0</v>
      </c>
      <c r="CC9" s="497">
        <f t="shared" si="14"/>
        <v>0</v>
      </c>
      <c r="CD9" s="497">
        <f t="shared" si="14"/>
        <v>0</v>
      </c>
      <c r="CE9" s="497">
        <f t="shared" si="14"/>
        <v>0</v>
      </c>
      <c r="CF9" s="497">
        <f t="shared" si="14"/>
        <v>0</v>
      </c>
      <c r="CG9" s="497">
        <f t="shared" si="14"/>
        <v>0</v>
      </c>
      <c r="CH9" s="497">
        <f t="shared" si="14"/>
        <v>0</v>
      </c>
      <c r="CI9" s="497">
        <f t="shared" si="14"/>
        <v>0</v>
      </c>
      <c r="CJ9" s="524">
        <f t="shared" si="14"/>
        <v>0</v>
      </c>
      <c r="CK9" s="537" t="s">
        <v>55</v>
      </c>
      <c r="CL9" s="497">
        <f>IF(BL9=0,0,BL9-BK9)</f>
        <v>10</v>
      </c>
      <c r="CM9" s="497">
        <f t="shared" ref="CM9:CW24" si="15">IF(BM9=0,0,BM9-BL9)</f>
        <v>13</v>
      </c>
      <c r="CN9" s="497">
        <f t="shared" si="15"/>
        <v>0</v>
      </c>
      <c r="CO9" s="497">
        <f t="shared" si="15"/>
        <v>0</v>
      </c>
      <c r="CP9" s="497">
        <f t="shared" si="15"/>
        <v>0</v>
      </c>
      <c r="CQ9" s="497">
        <f t="shared" si="15"/>
        <v>0</v>
      </c>
      <c r="CR9" s="497">
        <f t="shared" si="15"/>
        <v>0</v>
      </c>
      <c r="CS9" s="497">
        <f t="shared" si="15"/>
        <v>0</v>
      </c>
      <c r="CT9" s="497">
        <f t="shared" si="15"/>
        <v>0</v>
      </c>
      <c r="CU9" s="497">
        <f t="shared" si="15"/>
        <v>0</v>
      </c>
      <c r="CV9" s="497">
        <f t="shared" si="15"/>
        <v>0</v>
      </c>
      <c r="CW9" s="497">
        <f t="shared" si="15"/>
        <v>0</v>
      </c>
      <c r="CX9" s="535" t="s">
        <v>55</v>
      </c>
      <c r="CY9" s="497">
        <v>3000</v>
      </c>
      <c r="CZ9" s="497">
        <v>3000</v>
      </c>
      <c r="DA9" s="497">
        <v>3000</v>
      </c>
      <c r="DB9" s="497">
        <v>3000</v>
      </c>
      <c r="DC9" s="497">
        <v>3000</v>
      </c>
      <c r="DD9" s="497">
        <v>3000</v>
      </c>
      <c r="DE9" s="497">
        <v>3000</v>
      </c>
      <c r="DF9" s="497">
        <v>3000</v>
      </c>
      <c r="DG9" s="497">
        <v>3000</v>
      </c>
      <c r="DH9" s="497">
        <v>3000</v>
      </c>
      <c r="DI9" s="497">
        <v>3000</v>
      </c>
      <c r="DJ9" s="524">
        <v>3000</v>
      </c>
      <c r="DK9" s="537" t="s">
        <v>55</v>
      </c>
      <c r="DL9" s="536">
        <v>20000</v>
      </c>
      <c r="DM9" s="536">
        <v>20000</v>
      </c>
      <c r="DN9" s="536">
        <v>20000</v>
      </c>
      <c r="DO9" s="536">
        <v>20000</v>
      </c>
      <c r="DP9" s="536">
        <v>20000</v>
      </c>
      <c r="DQ9" s="536">
        <v>20000</v>
      </c>
      <c r="DR9" s="536">
        <v>20000</v>
      </c>
      <c r="DS9" s="536">
        <v>20000</v>
      </c>
      <c r="DT9" s="536">
        <v>20000</v>
      </c>
      <c r="DU9" s="536">
        <v>20000</v>
      </c>
      <c r="DV9" s="536">
        <v>20000</v>
      </c>
      <c r="DW9" s="536">
        <v>20000</v>
      </c>
      <c r="DX9" s="535" t="s">
        <v>55</v>
      </c>
      <c r="DY9" s="497">
        <v>15000</v>
      </c>
      <c r="DZ9" s="497">
        <v>15000</v>
      </c>
      <c r="EA9" s="497">
        <v>15000</v>
      </c>
      <c r="EB9" s="497">
        <v>15000</v>
      </c>
      <c r="EC9" s="497">
        <v>15000</v>
      </c>
      <c r="ED9" s="497">
        <v>15000</v>
      </c>
      <c r="EE9" s="497">
        <v>15000</v>
      </c>
      <c r="EF9" s="497">
        <v>15000</v>
      </c>
      <c r="EG9" s="497">
        <v>15000</v>
      </c>
      <c r="EH9" s="497">
        <v>15000</v>
      </c>
      <c r="EI9" s="497">
        <v>15000</v>
      </c>
      <c r="EJ9" s="524">
        <v>15000</v>
      </c>
      <c r="EK9" s="537" t="s">
        <v>55</v>
      </c>
      <c r="EL9" s="497"/>
      <c r="EM9" s="497"/>
      <c r="EN9" s="497"/>
      <c r="EO9" s="497"/>
      <c r="EP9" s="497"/>
      <c r="EQ9" s="497"/>
      <c r="ER9" s="497"/>
      <c r="ES9" s="497"/>
      <c r="ET9" s="497"/>
      <c r="EU9" s="497"/>
      <c r="EV9" s="497"/>
      <c r="EW9" s="536"/>
      <c r="EX9" s="535" t="s">
        <v>55</v>
      </c>
      <c r="EY9" s="497"/>
      <c r="EZ9" s="497"/>
      <c r="FA9" s="497"/>
      <c r="FB9" s="497"/>
      <c r="FC9" s="497"/>
      <c r="FD9" s="497"/>
      <c r="FE9" s="497"/>
      <c r="FF9" s="497"/>
      <c r="FG9" s="497"/>
      <c r="FH9" s="497"/>
      <c r="FI9" s="497"/>
      <c r="FJ9" s="538"/>
      <c r="FK9" s="537" t="s">
        <v>55</v>
      </c>
      <c r="FL9" s="536">
        <v>1300000</v>
      </c>
      <c r="FM9" s="497">
        <v>1400000</v>
      </c>
      <c r="FN9" s="497">
        <v>1400000</v>
      </c>
      <c r="FO9" s="497"/>
      <c r="FP9" s="497"/>
      <c r="FQ9" s="497"/>
      <c r="FR9" s="497"/>
      <c r="FS9" s="497"/>
      <c r="FT9" s="497"/>
      <c r="FU9" s="497"/>
      <c r="FV9" s="497"/>
      <c r="FW9" s="536"/>
      <c r="FX9" s="535" t="s">
        <v>55</v>
      </c>
      <c r="FY9" s="497">
        <f>BY9*CY9</f>
        <v>474000</v>
      </c>
      <c r="FZ9" s="497">
        <f t="shared" ref="FZ9:GJ24" si="16">BZ9*CZ9</f>
        <v>183000</v>
      </c>
      <c r="GA9" s="497">
        <f t="shared" si="16"/>
        <v>0</v>
      </c>
      <c r="GB9" s="497">
        <f t="shared" si="16"/>
        <v>0</v>
      </c>
      <c r="GC9" s="497">
        <f t="shared" si="16"/>
        <v>0</v>
      </c>
      <c r="GD9" s="497">
        <f t="shared" si="16"/>
        <v>0</v>
      </c>
      <c r="GE9" s="497">
        <f t="shared" si="16"/>
        <v>0</v>
      </c>
      <c r="GF9" s="497">
        <f t="shared" si="16"/>
        <v>0</v>
      </c>
      <c r="GG9" s="497">
        <f t="shared" si="16"/>
        <v>0</v>
      </c>
      <c r="GH9" s="497">
        <f t="shared" si="16"/>
        <v>0</v>
      </c>
      <c r="GI9" s="497">
        <f t="shared" si="16"/>
        <v>0</v>
      </c>
      <c r="GJ9" s="497">
        <f t="shared" si="16"/>
        <v>0</v>
      </c>
      <c r="GK9" s="537" t="s">
        <v>55</v>
      </c>
      <c r="GL9" s="497">
        <f t="shared" ref="GL9:GW24" si="17">CL9*DL9</f>
        <v>200000</v>
      </c>
      <c r="GM9" s="497">
        <f t="shared" si="17"/>
        <v>260000</v>
      </c>
      <c r="GN9" s="497">
        <f t="shared" si="17"/>
        <v>0</v>
      </c>
      <c r="GO9" s="497">
        <f t="shared" si="17"/>
        <v>0</v>
      </c>
      <c r="GP9" s="497">
        <f t="shared" si="17"/>
        <v>0</v>
      </c>
      <c r="GQ9" s="497">
        <f t="shared" si="17"/>
        <v>0</v>
      </c>
      <c r="GR9" s="497">
        <f t="shared" si="17"/>
        <v>0</v>
      </c>
      <c r="GS9" s="497">
        <f t="shared" si="17"/>
        <v>0</v>
      </c>
      <c r="GT9" s="497">
        <f t="shared" si="17"/>
        <v>0</v>
      </c>
      <c r="GU9" s="497">
        <f t="shared" si="17"/>
        <v>0</v>
      </c>
      <c r="GV9" s="497">
        <f t="shared" si="17"/>
        <v>0</v>
      </c>
      <c r="GW9" s="497">
        <f t="shared" si="17"/>
        <v>0</v>
      </c>
      <c r="GX9" s="537" t="s">
        <v>55</v>
      </c>
      <c r="GY9" s="173">
        <f>Y9</f>
        <v>0</v>
      </c>
      <c r="GZ9" s="173">
        <f>U9</f>
        <v>15000</v>
      </c>
      <c r="HA9" s="173">
        <f>V9</f>
        <v>0</v>
      </c>
      <c r="HB9" s="173">
        <f>W9</f>
        <v>0</v>
      </c>
      <c r="HC9" s="534"/>
      <c r="HD9" s="534"/>
    </row>
    <row r="10" spans="1:212" ht="14.25" customHeight="1">
      <c r="A10" s="95">
        <v>2</v>
      </c>
      <c r="B10" s="935"/>
      <c r="C10" s="920"/>
      <c r="D10" s="660" t="s">
        <v>139</v>
      </c>
      <c r="E10" s="661">
        <v>11</v>
      </c>
      <c r="F10" s="661">
        <v>21</v>
      </c>
      <c r="G10" s="661">
        <v>34</v>
      </c>
      <c r="H10" s="661"/>
      <c r="I10" s="661"/>
      <c r="J10" s="661"/>
      <c r="K10" s="661"/>
      <c r="L10" s="661"/>
      <c r="M10" s="661"/>
      <c r="N10" s="661"/>
      <c r="O10" s="661"/>
      <c r="P10" s="661"/>
      <c r="Q10" s="666"/>
      <c r="R10" s="89"/>
      <c r="S10" s="90"/>
      <c r="T10" s="90"/>
      <c r="U10" s="90"/>
      <c r="V10" s="90"/>
      <c r="W10" s="90"/>
      <c r="X10" s="21"/>
      <c r="Y10" s="90"/>
      <c r="Z10" s="90">
        <v>20000</v>
      </c>
      <c r="AA10" s="498" t="str">
        <f>C9</f>
        <v>A1</v>
      </c>
      <c r="AB10" s="90" t="s">
        <v>132</v>
      </c>
      <c r="AC10" s="534">
        <v>2</v>
      </c>
      <c r="AD10" s="534"/>
      <c r="AE10" s="534">
        <v>1</v>
      </c>
      <c r="AF10" s="534">
        <v>2</v>
      </c>
      <c r="AG10" s="535" t="s">
        <v>129</v>
      </c>
      <c r="AH10" s="535" t="str">
        <f>B11</f>
        <v>Cao Vũ Phong</v>
      </c>
      <c r="AI10" s="497">
        <v>1636000</v>
      </c>
      <c r="AJ10" s="497">
        <f t="shared" si="0"/>
        <v>1720000</v>
      </c>
      <c r="AK10" s="497">
        <f t="shared" si="1"/>
        <v>1722000</v>
      </c>
      <c r="AL10" s="497">
        <f t="shared" si="2"/>
        <v>0</v>
      </c>
      <c r="AM10" s="497">
        <f t="shared" si="3"/>
        <v>0</v>
      </c>
      <c r="AN10" s="497">
        <f t="shared" si="4"/>
        <v>0</v>
      </c>
      <c r="AO10" s="497">
        <f t="shared" si="5"/>
        <v>0</v>
      </c>
      <c r="AP10" s="497">
        <f t="shared" si="6"/>
        <v>0</v>
      </c>
      <c r="AQ10" s="497">
        <f t="shared" si="7"/>
        <v>0</v>
      </c>
      <c r="AR10" s="497">
        <f t="shared" si="8"/>
        <v>0</v>
      </c>
      <c r="AS10" s="497">
        <f t="shared" si="9"/>
        <v>0</v>
      </c>
      <c r="AT10" s="497">
        <f t="shared" si="10"/>
        <v>0</v>
      </c>
      <c r="AU10" s="536">
        <f t="shared" si="11"/>
        <v>0</v>
      </c>
      <c r="AV10" s="537" t="s">
        <v>129</v>
      </c>
      <c r="AW10" s="497">
        <f t="shared" ref="AW10:BI10" si="18">E11</f>
        <v>7917</v>
      </c>
      <c r="AX10" s="497">
        <f t="shared" si="18"/>
        <v>7992</v>
      </c>
      <c r="AY10" s="497">
        <f t="shared" si="18"/>
        <v>8041</v>
      </c>
      <c r="AZ10" s="497">
        <f t="shared" si="18"/>
        <v>0</v>
      </c>
      <c r="BA10" s="497">
        <f t="shared" si="18"/>
        <v>0</v>
      </c>
      <c r="BB10" s="497">
        <f t="shared" si="18"/>
        <v>0</v>
      </c>
      <c r="BC10" s="497">
        <f t="shared" si="18"/>
        <v>0</v>
      </c>
      <c r="BD10" s="497">
        <f t="shared" si="18"/>
        <v>0</v>
      </c>
      <c r="BE10" s="497">
        <f t="shared" si="18"/>
        <v>0</v>
      </c>
      <c r="BF10" s="497">
        <f t="shared" si="18"/>
        <v>0</v>
      </c>
      <c r="BG10" s="497">
        <f t="shared" si="18"/>
        <v>0</v>
      </c>
      <c r="BH10" s="497">
        <f t="shared" si="18"/>
        <v>0</v>
      </c>
      <c r="BI10" s="524">
        <f t="shared" si="18"/>
        <v>0</v>
      </c>
      <c r="BJ10" s="537" t="s">
        <v>129</v>
      </c>
      <c r="BK10" s="497">
        <f t="shared" ref="BK10:BW10" si="19">E12</f>
        <v>5</v>
      </c>
      <c r="BL10" s="497">
        <f t="shared" si="19"/>
        <v>13</v>
      </c>
      <c r="BM10" s="497">
        <f t="shared" si="19"/>
        <v>20</v>
      </c>
      <c r="BN10" s="497">
        <f t="shared" si="19"/>
        <v>0</v>
      </c>
      <c r="BO10" s="497">
        <f t="shared" si="19"/>
        <v>0</v>
      </c>
      <c r="BP10" s="497">
        <f t="shared" si="19"/>
        <v>0</v>
      </c>
      <c r="BQ10" s="497">
        <f t="shared" si="19"/>
        <v>0</v>
      </c>
      <c r="BR10" s="497">
        <f t="shared" si="19"/>
        <v>0</v>
      </c>
      <c r="BS10" s="497">
        <f t="shared" si="19"/>
        <v>0</v>
      </c>
      <c r="BT10" s="497">
        <f t="shared" si="19"/>
        <v>0</v>
      </c>
      <c r="BU10" s="497">
        <f t="shared" si="19"/>
        <v>0</v>
      </c>
      <c r="BV10" s="497">
        <f t="shared" si="19"/>
        <v>0</v>
      </c>
      <c r="BW10" s="524">
        <f t="shared" si="19"/>
        <v>0</v>
      </c>
      <c r="BX10" s="537" t="s">
        <v>129</v>
      </c>
      <c r="BY10" s="497">
        <f t="shared" ref="BY10:CJ37" si="20">IF(AX10=0,0,AX10-AW10)</f>
        <v>75</v>
      </c>
      <c r="BZ10" s="497">
        <f t="shared" si="14"/>
        <v>49</v>
      </c>
      <c r="CA10" s="497">
        <f t="shared" si="14"/>
        <v>0</v>
      </c>
      <c r="CB10" s="497">
        <f t="shared" si="14"/>
        <v>0</v>
      </c>
      <c r="CC10" s="497">
        <f t="shared" si="14"/>
        <v>0</v>
      </c>
      <c r="CD10" s="497">
        <f t="shared" si="14"/>
        <v>0</v>
      </c>
      <c r="CE10" s="497">
        <f t="shared" si="14"/>
        <v>0</v>
      </c>
      <c r="CF10" s="497">
        <f t="shared" si="14"/>
        <v>0</v>
      </c>
      <c r="CG10" s="497">
        <f t="shared" si="14"/>
        <v>0</v>
      </c>
      <c r="CH10" s="497">
        <f t="shared" si="14"/>
        <v>0</v>
      </c>
      <c r="CI10" s="497">
        <f t="shared" si="14"/>
        <v>0</v>
      </c>
      <c r="CJ10" s="524">
        <f t="shared" si="14"/>
        <v>0</v>
      </c>
      <c r="CK10" s="537" t="s">
        <v>129</v>
      </c>
      <c r="CL10" s="497">
        <f t="shared" ref="CL10:CW37" si="21">IF(BL10=0,0,BL10-BK10)</f>
        <v>8</v>
      </c>
      <c r="CM10" s="497">
        <f t="shared" si="15"/>
        <v>7</v>
      </c>
      <c r="CN10" s="497">
        <f t="shared" si="15"/>
        <v>0</v>
      </c>
      <c r="CO10" s="497">
        <f t="shared" si="15"/>
        <v>0</v>
      </c>
      <c r="CP10" s="497">
        <f t="shared" si="15"/>
        <v>0</v>
      </c>
      <c r="CQ10" s="497">
        <f t="shared" si="15"/>
        <v>0</v>
      </c>
      <c r="CR10" s="497">
        <f t="shared" si="15"/>
        <v>0</v>
      </c>
      <c r="CS10" s="497">
        <f t="shared" si="15"/>
        <v>0</v>
      </c>
      <c r="CT10" s="497">
        <f t="shared" si="15"/>
        <v>0</v>
      </c>
      <c r="CU10" s="497">
        <f t="shared" si="15"/>
        <v>0</v>
      </c>
      <c r="CV10" s="497">
        <f t="shared" si="15"/>
        <v>0</v>
      </c>
      <c r="CW10" s="497">
        <f t="shared" si="15"/>
        <v>0</v>
      </c>
      <c r="CX10" s="535" t="s">
        <v>129</v>
      </c>
      <c r="CY10" s="497">
        <v>3000</v>
      </c>
      <c r="CZ10" s="497">
        <v>3000</v>
      </c>
      <c r="DA10" s="497">
        <v>3000</v>
      </c>
      <c r="DB10" s="497">
        <v>3000</v>
      </c>
      <c r="DC10" s="497">
        <v>3000</v>
      </c>
      <c r="DD10" s="497">
        <v>3000</v>
      </c>
      <c r="DE10" s="497">
        <v>3000</v>
      </c>
      <c r="DF10" s="497">
        <v>3000</v>
      </c>
      <c r="DG10" s="497">
        <v>3000</v>
      </c>
      <c r="DH10" s="497">
        <v>3000</v>
      </c>
      <c r="DI10" s="497">
        <v>3000</v>
      </c>
      <c r="DJ10" s="524">
        <v>3000</v>
      </c>
      <c r="DK10" s="537" t="s">
        <v>129</v>
      </c>
      <c r="DL10" s="536">
        <v>20000</v>
      </c>
      <c r="DM10" s="536">
        <v>20000</v>
      </c>
      <c r="DN10" s="536">
        <v>20000</v>
      </c>
      <c r="DO10" s="536">
        <v>20000</v>
      </c>
      <c r="DP10" s="536">
        <v>20000</v>
      </c>
      <c r="DQ10" s="536">
        <v>20000</v>
      </c>
      <c r="DR10" s="536">
        <v>20000</v>
      </c>
      <c r="DS10" s="536">
        <v>20000</v>
      </c>
      <c r="DT10" s="536">
        <v>20000</v>
      </c>
      <c r="DU10" s="536">
        <v>20000</v>
      </c>
      <c r="DV10" s="536">
        <v>20000</v>
      </c>
      <c r="DW10" s="536">
        <v>20000</v>
      </c>
      <c r="DX10" s="535" t="s">
        <v>129</v>
      </c>
      <c r="DY10" s="497">
        <v>15000</v>
      </c>
      <c r="DZ10" s="497">
        <v>15000</v>
      </c>
      <c r="EA10" s="497">
        <v>15000</v>
      </c>
      <c r="EB10" s="497">
        <v>15000</v>
      </c>
      <c r="EC10" s="497">
        <v>15000</v>
      </c>
      <c r="ED10" s="497">
        <v>15000</v>
      </c>
      <c r="EE10" s="497">
        <v>15000</v>
      </c>
      <c r="EF10" s="497">
        <v>15000</v>
      </c>
      <c r="EG10" s="497">
        <v>15000</v>
      </c>
      <c r="EH10" s="497">
        <v>15000</v>
      </c>
      <c r="EI10" s="497">
        <v>15000</v>
      </c>
      <c r="EJ10" s="524">
        <v>15000</v>
      </c>
      <c r="EK10" s="537" t="s">
        <v>129</v>
      </c>
      <c r="EL10" s="497">
        <v>20000</v>
      </c>
      <c r="EM10" s="497">
        <v>20000</v>
      </c>
      <c r="EN10" s="497">
        <v>20000</v>
      </c>
      <c r="EO10" s="497">
        <v>20000</v>
      </c>
      <c r="EP10" s="497">
        <v>20000</v>
      </c>
      <c r="EQ10" s="497">
        <v>20000</v>
      </c>
      <c r="ER10" s="497">
        <v>20000</v>
      </c>
      <c r="ES10" s="497">
        <v>20000</v>
      </c>
      <c r="ET10" s="497">
        <v>20000</v>
      </c>
      <c r="EU10" s="497">
        <v>20000</v>
      </c>
      <c r="EV10" s="497">
        <v>20000</v>
      </c>
      <c r="EW10" s="536">
        <v>20000</v>
      </c>
      <c r="EX10" s="535" t="s">
        <v>129</v>
      </c>
      <c r="EY10" s="497"/>
      <c r="EZ10" s="497"/>
      <c r="FA10" s="497"/>
      <c r="FB10" s="497"/>
      <c r="FC10" s="497"/>
      <c r="FD10" s="497"/>
      <c r="FE10" s="497"/>
      <c r="FF10" s="497"/>
      <c r="FG10" s="497"/>
      <c r="FH10" s="497"/>
      <c r="FI10" s="497"/>
      <c r="FJ10" s="538"/>
      <c r="FK10" s="537" t="s">
        <v>129</v>
      </c>
      <c r="FL10" s="536">
        <v>1300000</v>
      </c>
      <c r="FM10" s="497">
        <v>1400000</v>
      </c>
      <c r="FN10" s="497">
        <v>1400000</v>
      </c>
      <c r="FO10" s="497"/>
      <c r="FP10" s="497"/>
      <c r="FQ10" s="497"/>
      <c r="FR10" s="497"/>
      <c r="FS10" s="497"/>
      <c r="FT10" s="497"/>
      <c r="FU10" s="497"/>
      <c r="FV10" s="497"/>
      <c r="FW10" s="536"/>
      <c r="FX10" s="535" t="s">
        <v>129</v>
      </c>
      <c r="FY10" s="497">
        <f t="shared" ref="FY10:GJ37" si="22">BY10*CY10</f>
        <v>225000</v>
      </c>
      <c r="FZ10" s="497">
        <f t="shared" si="16"/>
        <v>147000</v>
      </c>
      <c r="GA10" s="497">
        <f t="shared" si="16"/>
        <v>0</v>
      </c>
      <c r="GB10" s="497">
        <f t="shared" si="16"/>
        <v>0</v>
      </c>
      <c r="GC10" s="497">
        <f t="shared" si="16"/>
        <v>0</v>
      </c>
      <c r="GD10" s="497">
        <f t="shared" si="16"/>
        <v>0</v>
      </c>
      <c r="GE10" s="497">
        <f t="shared" si="16"/>
        <v>0</v>
      </c>
      <c r="GF10" s="497">
        <f t="shared" si="16"/>
        <v>0</v>
      </c>
      <c r="GG10" s="497">
        <f t="shared" si="16"/>
        <v>0</v>
      </c>
      <c r="GH10" s="497">
        <f t="shared" si="16"/>
        <v>0</v>
      </c>
      <c r="GI10" s="497">
        <f t="shared" si="16"/>
        <v>0</v>
      </c>
      <c r="GJ10" s="497">
        <f t="shared" si="16"/>
        <v>0</v>
      </c>
      <c r="GK10" s="537" t="s">
        <v>129</v>
      </c>
      <c r="GL10" s="497">
        <f t="shared" si="17"/>
        <v>160000</v>
      </c>
      <c r="GM10" s="497">
        <f t="shared" si="17"/>
        <v>140000</v>
      </c>
      <c r="GN10" s="497">
        <f t="shared" si="17"/>
        <v>0</v>
      </c>
      <c r="GO10" s="497">
        <f t="shared" si="17"/>
        <v>0</v>
      </c>
      <c r="GP10" s="497">
        <f t="shared" si="17"/>
        <v>0</v>
      </c>
      <c r="GQ10" s="497">
        <f t="shared" si="17"/>
        <v>0</v>
      </c>
      <c r="GR10" s="497">
        <f t="shared" si="17"/>
        <v>0</v>
      </c>
      <c r="GS10" s="497">
        <f t="shared" si="17"/>
        <v>0</v>
      </c>
      <c r="GT10" s="497">
        <f t="shared" si="17"/>
        <v>0</v>
      </c>
      <c r="GU10" s="497">
        <f t="shared" si="17"/>
        <v>0</v>
      </c>
      <c r="GV10" s="497">
        <f t="shared" si="17"/>
        <v>0</v>
      </c>
      <c r="GW10" s="497">
        <f t="shared" si="17"/>
        <v>0</v>
      </c>
      <c r="GX10" s="537" t="s">
        <v>129</v>
      </c>
      <c r="GY10" s="173">
        <f>Y11</f>
        <v>500</v>
      </c>
      <c r="GZ10" s="173">
        <f>U11</f>
        <v>15000</v>
      </c>
      <c r="HA10" s="173">
        <f>V11</f>
        <v>20000</v>
      </c>
      <c r="HB10" s="173">
        <f>W11</f>
        <v>0</v>
      </c>
      <c r="HC10" s="534"/>
      <c r="HD10" s="534"/>
    </row>
    <row r="11" spans="1:212" ht="14.25" customHeight="1">
      <c r="A11" s="78">
        <v>3</v>
      </c>
      <c r="B11" s="936" t="s">
        <v>140</v>
      </c>
      <c r="C11" s="921" t="s">
        <v>129</v>
      </c>
      <c r="D11" s="662" t="s">
        <v>128</v>
      </c>
      <c r="E11" s="302">
        <v>7917</v>
      </c>
      <c r="F11" s="302">
        <v>7992</v>
      </c>
      <c r="G11" s="302">
        <v>8041</v>
      </c>
      <c r="H11" s="302"/>
      <c r="I11" s="302"/>
      <c r="J11" s="302"/>
      <c r="K11" s="302"/>
      <c r="L11" s="302"/>
      <c r="M11" s="302"/>
      <c r="N11" s="302"/>
      <c r="O11" s="302"/>
      <c r="P11" s="302"/>
      <c r="Q11" s="305"/>
      <c r="R11" s="90"/>
      <c r="S11" s="90"/>
      <c r="T11" s="90">
        <v>1400</v>
      </c>
      <c r="U11" s="90">
        <v>15000</v>
      </c>
      <c r="V11" s="90">
        <v>20000</v>
      </c>
      <c r="W11" s="90">
        <v>0</v>
      </c>
      <c r="X11" s="21" t="s">
        <v>131</v>
      </c>
      <c r="Y11" s="90">
        <v>500</v>
      </c>
      <c r="Z11" s="90">
        <v>3000</v>
      </c>
      <c r="AA11" s="498" t="s">
        <v>129</v>
      </c>
      <c r="AB11" s="90" t="s">
        <v>132</v>
      </c>
      <c r="AC11" s="534">
        <v>3</v>
      </c>
      <c r="AD11" s="534">
        <v>2</v>
      </c>
      <c r="AE11" s="534"/>
      <c r="AF11" s="534">
        <v>3</v>
      </c>
      <c r="AG11" s="535" t="s">
        <v>142</v>
      </c>
      <c r="AH11" s="535" t="str">
        <f>B13</f>
        <v>Lương Văn Thân</v>
      </c>
      <c r="AI11" s="497">
        <v>1672000</v>
      </c>
      <c r="AJ11" s="497">
        <f t="shared" si="0"/>
        <v>1660000</v>
      </c>
      <c r="AK11" s="497">
        <f t="shared" si="1"/>
        <v>1684000</v>
      </c>
      <c r="AL11" s="497">
        <f t="shared" si="2"/>
        <v>0</v>
      </c>
      <c r="AM11" s="497">
        <f t="shared" si="3"/>
        <v>0</v>
      </c>
      <c r="AN11" s="497">
        <f t="shared" si="4"/>
        <v>0</v>
      </c>
      <c r="AO11" s="497">
        <f t="shared" si="5"/>
        <v>0</v>
      </c>
      <c r="AP11" s="497">
        <f t="shared" si="6"/>
        <v>0</v>
      </c>
      <c r="AQ11" s="497">
        <f t="shared" si="7"/>
        <v>0</v>
      </c>
      <c r="AR11" s="497">
        <f t="shared" si="8"/>
        <v>0</v>
      </c>
      <c r="AS11" s="497">
        <f t="shared" si="9"/>
        <v>0</v>
      </c>
      <c r="AT11" s="497">
        <f t="shared" si="10"/>
        <v>0</v>
      </c>
      <c r="AU11" s="536">
        <f t="shared" si="11"/>
        <v>0</v>
      </c>
      <c r="AV11" s="537" t="s">
        <v>142</v>
      </c>
      <c r="AW11" s="497">
        <f t="shared" ref="AW11:BI11" si="23">E13</f>
        <v>954</v>
      </c>
      <c r="AX11" s="497">
        <f t="shared" si="23"/>
        <v>1009</v>
      </c>
      <c r="AY11" s="497">
        <f t="shared" si="23"/>
        <v>1052</v>
      </c>
      <c r="AZ11" s="497">
        <f t="shared" si="23"/>
        <v>0</v>
      </c>
      <c r="BA11" s="497">
        <f t="shared" si="23"/>
        <v>0</v>
      </c>
      <c r="BB11" s="497">
        <f t="shared" si="23"/>
        <v>0</v>
      </c>
      <c r="BC11" s="497">
        <f t="shared" si="23"/>
        <v>0</v>
      </c>
      <c r="BD11" s="497">
        <f t="shared" si="23"/>
        <v>0</v>
      </c>
      <c r="BE11" s="497">
        <f t="shared" si="23"/>
        <v>0</v>
      </c>
      <c r="BF11" s="497">
        <f t="shared" si="23"/>
        <v>0</v>
      </c>
      <c r="BG11" s="497">
        <f t="shared" si="23"/>
        <v>0</v>
      </c>
      <c r="BH11" s="497">
        <f t="shared" si="23"/>
        <v>0</v>
      </c>
      <c r="BI11" s="524">
        <f t="shared" si="23"/>
        <v>0</v>
      </c>
      <c r="BJ11" s="537" t="s">
        <v>142</v>
      </c>
      <c r="BK11" s="497">
        <f t="shared" ref="BK11:BW11" si="24">E14</f>
        <v>8</v>
      </c>
      <c r="BL11" s="497">
        <f t="shared" si="24"/>
        <v>16</v>
      </c>
      <c r="BM11" s="497">
        <f t="shared" si="24"/>
        <v>22</v>
      </c>
      <c r="BN11" s="497">
        <f t="shared" si="24"/>
        <v>0</v>
      </c>
      <c r="BO11" s="497">
        <f t="shared" si="24"/>
        <v>0</v>
      </c>
      <c r="BP11" s="497">
        <f t="shared" si="24"/>
        <v>0</v>
      </c>
      <c r="BQ11" s="497">
        <f t="shared" si="24"/>
        <v>0</v>
      </c>
      <c r="BR11" s="497">
        <f t="shared" si="24"/>
        <v>0</v>
      </c>
      <c r="BS11" s="497">
        <f t="shared" si="24"/>
        <v>0</v>
      </c>
      <c r="BT11" s="497">
        <f t="shared" si="24"/>
        <v>0</v>
      </c>
      <c r="BU11" s="497">
        <f t="shared" si="24"/>
        <v>0</v>
      </c>
      <c r="BV11" s="497">
        <f t="shared" si="24"/>
        <v>0</v>
      </c>
      <c r="BW11" s="524">
        <f t="shared" si="24"/>
        <v>0</v>
      </c>
      <c r="BX11" s="537" t="s">
        <v>142</v>
      </c>
      <c r="BY11" s="497">
        <f t="shared" si="20"/>
        <v>55</v>
      </c>
      <c r="BZ11" s="497">
        <f t="shared" si="14"/>
        <v>43</v>
      </c>
      <c r="CA11" s="497">
        <f t="shared" si="14"/>
        <v>0</v>
      </c>
      <c r="CB11" s="497">
        <f t="shared" si="14"/>
        <v>0</v>
      </c>
      <c r="CC11" s="497">
        <f t="shared" si="14"/>
        <v>0</v>
      </c>
      <c r="CD11" s="497">
        <f t="shared" si="14"/>
        <v>0</v>
      </c>
      <c r="CE11" s="497">
        <f t="shared" si="14"/>
        <v>0</v>
      </c>
      <c r="CF11" s="497">
        <f t="shared" si="14"/>
        <v>0</v>
      </c>
      <c r="CG11" s="497">
        <f t="shared" si="14"/>
        <v>0</v>
      </c>
      <c r="CH11" s="497">
        <f t="shared" si="14"/>
        <v>0</v>
      </c>
      <c r="CI11" s="497">
        <f t="shared" si="14"/>
        <v>0</v>
      </c>
      <c r="CJ11" s="524">
        <f t="shared" si="14"/>
        <v>0</v>
      </c>
      <c r="CK11" s="537" t="s">
        <v>142</v>
      </c>
      <c r="CL11" s="497">
        <f t="shared" si="21"/>
        <v>8</v>
      </c>
      <c r="CM11" s="497">
        <f t="shared" si="15"/>
        <v>6</v>
      </c>
      <c r="CN11" s="497">
        <f t="shared" si="15"/>
        <v>0</v>
      </c>
      <c r="CO11" s="497">
        <f t="shared" si="15"/>
        <v>0</v>
      </c>
      <c r="CP11" s="497">
        <f t="shared" si="15"/>
        <v>0</v>
      </c>
      <c r="CQ11" s="497">
        <f t="shared" si="15"/>
        <v>0</v>
      </c>
      <c r="CR11" s="497">
        <f t="shared" si="15"/>
        <v>0</v>
      </c>
      <c r="CS11" s="497">
        <f t="shared" si="15"/>
        <v>0</v>
      </c>
      <c r="CT11" s="497">
        <f t="shared" si="15"/>
        <v>0</v>
      </c>
      <c r="CU11" s="497">
        <f t="shared" si="15"/>
        <v>0</v>
      </c>
      <c r="CV11" s="497">
        <f t="shared" si="15"/>
        <v>0</v>
      </c>
      <c r="CW11" s="497">
        <f t="shared" si="15"/>
        <v>0</v>
      </c>
      <c r="CX11" s="535" t="s">
        <v>142</v>
      </c>
      <c r="CY11" s="497">
        <v>3000</v>
      </c>
      <c r="CZ11" s="497">
        <v>3000</v>
      </c>
      <c r="DA11" s="497">
        <v>3000</v>
      </c>
      <c r="DB11" s="497">
        <v>3000</v>
      </c>
      <c r="DC11" s="497">
        <v>3000</v>
      </c>
      <c r="DD11" s="497">
        <v>3000</v>
      </c>
      <c r="DE11" s="497">
        <v>3000</v>
      </c>
      <c r="DF11" s="497">
        <v>3000</v>
      </c>
      <c r="DG11" s="497">
        <v>3000</v>
      </c>
      <c r="DH11" s="497">
        <v>3000</v>
      </c>
      <c r="DI11" s="497">
        <v>3000</v>
      </c>
      <c r="DJ11" s="524">
        <v>3000</v>
      </c>
      <c r="DK11" s="537" t="s">
        <v>142</v>
      </c>
      <c r="DL11" s="536">
        <v>20000</v>
      </c>
      <c r="DM11" s="536">
        <v>20000</v>
      </c>
      <c r="DN11" s="536">
        <v>20000</v>
      </c>
      <c r="DO11" s="536">
        <v>20000</v>
      </c>
      <c r="DP11" s="536">
        <v>20000</v>
      </c>
      <c r="DQ11" s="536">
        <v>20000</v>
      </c>
      <c r="DR11" s="536">
        <v>20000</v>
      </c>
      <c r="DS11" s="536">
        <v>20000</v>
      </c>
      <c r="DT11" s="536">
        <v>20000</v>
      </c>
      <c r="DU11" s="536">
        <v>20000</v>
      </c>
      <c r="DV11" s="536">
        <v>20000</v>
      </c>
      <c r="DW11" s="536">
        <v>20000</v>
      </c>
      <c r="DX11" s="535" t="s">
        <v>142</v>
      </c>
      <c r="DY11" s="497">
        <v>15000</v>
      </c>
      <c r="DZ11" s="497">
        <v>15000</v>
      </c>
      <c r="EA11" s="497">
        <v>15000</v>
      </c>
      <c r="EB11" s="497">
        <v>15000</v>
      </c>
      <c r="EC11" s="497">
        <v>15000</v>
      </c>
      <c r="ED11" s="497">
        <v>15000</v>
      </c>
      <c r="EE11" s="497">
        <v>15000</v>
      </c>
      <c r="EF11" s="497">
        <v>15000</v>
      </c>
      <c r="EG11" s="497">
        <v>15000</v>
      </c>
      <c r="EH11" s="497">
        <v>15000</v>
      </c>
      <c r="EI11" s="497">
        <v>15000</v>
      </c>
      <c r="EJ11" s="524">
        <v>15000</v>
      </c>
      <c r="EK11" s="537" t="s">
        <v>142</v>
      </c>
      <c r="EL11" s="497">
        <v>20000</v>
      </c>
      <c r="EM11" s="497">
        <v>20000</v>
      </c>
      <c r="EN11" s="497">
        <v>20000</v>
      </c>
      <c r="EO11" s="497">
        <v>20000</v>
      </c>
      <c r="EP11" s="497">
        <v>20000</v>
      </c>
      <c r="EQ11" s="497">
        <v>20000</v>
      </c>
      <c r="ER11" s="497">
        <v>20000</v>
      </c>
      <c r="ES11" s="497">
        <v>20000</v>
      </c>
      <c r="ET11" s="497">
        <v>20000</v>
      </c>
      <c r="EU11" s="497">
        <v>20000</v>
      </c>
      <c r="EV11" s="497">
        <v>20000</v>
      </c>
      <c r="EW11" s="536">
        <v>20000</v>
      </c>
      <c r="EX11" s="535" t="s">
        <v>142</v>
      </c>
      <c r="EY11" s="497"/>
      <c r="EZ11" s="497"/>
      <c r="FA11" s="497"/>
      <c r="FB11" s="497"/>
      <c r="FC11" s="497"/>
      <c r="FD11" s="497"/>
      <c r="FE11" s="497"/>
      <c r="FF11" s="497"/>
      <c r="FG11" s="497"/>
      <c r="FH11" s="497"/>
      <c r="FI11" s="497"/>
      <c r="FJ11" s="538"/>
      <c r="FK11" s="537" t="s">
        <v>142</v>
      </c>
      <c r="FL11" s="536">
        <v>1300000</v>
      </c>
      <c r="FM11" s="497">
        <v>1400000</v>
      </c>
      <c r="FN11" s="497">
        <v>1400000</v>
      </c>
      <c r="FO11" s="497"/>
      <c r="FP11" s="497"/>
      <c r="FQ11" s="497"/>
      <c r="FR11" s="497"/>
      <c r="FS11" s="497"/>
      <c r="FT11" s="497"/>
      <c r="FU11" s="497"/>
      <c r="FV11" s="497"/>
      <c r="FW11" s="536"/>
      <c r="FX11" s="535" t="s">
        <v>142</v>
      </c>
      <c r="FY11" s="497">
        <f t="shared" si="22"/>
        <v>165000</v>
      </c>
      <c r="FZ11" s="497">
        <f t="shared" si="16"/>
        <v>129000</v>
      </c>
      <c r="GA11" s="497">
        <f t="shared" si="16"/>
        <v>0</v>
      </c>
      <c r="GB11" s="497">
        <f t="shared" si="16"/>
        <v>0</v>
      </c>
      <c r="GC11" s="497">
        <f t="shared" si="16"/>
        <v>0</v>
      </c>
      <c r="GD11" s="497">
        <f t="shared" si="16"/>
        <v>0</v>
      </c>
      <c r="GE11" s="497">
        <f t="shared" si="16"/>
        <v>0</v>
      </c>
      <c r="GF11" s="497">
        <f t="shared" si="16"/>
        <v>0</v>
      </c>
      <c r="GG11" s="497">
        <f t="shared" si="16"/>
        <v>0</v>
      </c>
      <c r="GH11" s="497">
        <f t="shared" si="16"/>
        <v>0</v>
      </c>
      <c r="GI11" s="497">
        <f t="shared" si="16"/>
        <v>0</v>
      </c>
      <c r="GJ11" s="497">
        <f t="shared" si="16"/>
        <v>0</v>
      </c>
      <c r="GK11" s="537" t="s">
        <v>142</v>
      </c>
      <c r="GL11" s="497">
        <f t="shared" si="17"/>
        <v>160000</v>
      </c>
      <c r="GM11" s="497">
        <f t="shared" si="17"/>
        <v>120000</v>
      </c>
      <c r="GN11" s="497">
        <f t="shared" si="17"/>
        <v>0</v>
      </c>
      <c r="GO11" s="497">
        <f t="shared" si="17"/>
        <v>0</v>
      </c>
      <c r="GP11" s="497">
        <f t="shared" si="17"/>
        <v>0</v>
      </c>
      <c r="GQ11" s="497">
        <f t="shared" si="17"/>
        <v>0</v>
      </c>
      <c r="GR11" s="497">
        <f t="shared" si="17"/>
        <v>0</v>
      </c>
      <c r="GS11" s="497">
        <f t="shared" si="17"/>
        <v>0</v>
      </c>
      <c r="GT11" s="497">
        <f t="shared" si="17"/>
        <v>0</v>
      </c>
      <c r="GU11" s="497">
        <f t="shared" si="17"/>
        <v>0</v>
      </c>
      <c r="GV11" s="497">
        <f t="shared" si="17"/>
        <v>0</v>
      </c>
      <c r="GW11" s="497">
        <f t="shared" si="17"/>
        <v>0</v>
      </c>
      <c r="GX11" s="537" t="s">
        <v>142</v>
      </c>
      <c r="GY11" s="173">
        <f>Y13</f>
        <v>1000</v>
      </c>
      <c r="GZ11" s="173">
        <f>U13</f>
        <v>15000</v>
      </c>
      <c r="HA11" s="173">
        <f>V13</f>
        <v>20000</v>
      </c>
      <c r="HB11" s="173">
        <f>W13</f>
        <v>0</v>
      </c>
      <c r="HC11" s="530"/>
      <c r="HD11" s="534"/>
    </row>
    <row r="12" spans="1:212" ht="14.25" customHeight="1">
      <c r="A12" s="95">
        <v>4</v>
      </c>
      <c r="B12" s="935"/>
      <c r="C12" s="920"/>
      <c r="D12" s="662" t="s">
        <v>139</v>
      </c>
      <c r="E12" s="302">
        <v>5</v>
      </c>
      <c r="F12" s="302">
        <v>13</v>
      </c>
      <c r="G12" s="302">
        <v>20</v>
      </c>
      <c r="H12" s="302"/>
      <c r="I12" s="302"/>
      <c r="J12" s="302"/>
      <c r="K12" s="302"/>
      <c r="L12" s="302"/>
      <c r="M12" s="302"/>
      <c r="N12" s="302"/>
      <c r="O12" s="302"/>
      <c r="P12" s="302"/>
      <c r="Q12" s="305"/>
      <c r="R12" s="90"/>
      <c r="S12" s="90"/>
      <c r="T12" s="90"/>
      <c r="U12" s="90"/>
      <c r="V12" s="90"/>
      <c r="W12" s="90"/>
      <c r="X12" s="21"/>
      <c r="Y12" s="90"/>
      <c r="Z12" s="90">
        <v>20000</v>
      </c>
      <c r="AA12" s="498" t="s">
        <v>129</v>
      </c>
      <c r="AB12" s="90" t="s">
        <v>132</v>
      </c>
      <c r="AC12" s="534">
        <v>4</v>
      </c>
      <c r="AD12" s="534"/>
      <c r="AE12" s="534">
        <v>2</v>
      </c>
      <c r="AF12" s="534">
        <v>4</v>
      </c>
      <c r="AG12" s="535" t="s">
        <v>147</v>
      </c>
      <c r="AH12" s="535" t="str">
        <f>B15</f>
        <v>Đỗ Thị Lệ</v>
      </c>
      <c r="AI12" s="497">
        <v>1832000</v>
      </c>
      <c r="AJ12" s="497">
        <f t="shared" si="0"/>
        <v>1839000</v>
      </c>
      <c r="AK12" s="497">
        <f t="shared" si="1"/>
        <v>1840000</v>
      </c>
      <c r="AL12" s="497">
        <f t="shared" si="2"/>
        <v>0</v>
      </c>
      <c r="AM12" s="497">
        <f t="shared" si="3"/>
        <v>0</v>
      </c>
      <c r="AN12" s="497">
        <f t="shared" si="4"/>
        <v>0</v>
      </c>
      <c r="AO12" s="497">
        <f t="shared" si="5"/>
        <v>0</v>
      </c>
      <c r="AP12" s="497">
        <f t="shared" si="6"/>
        <v>0</v>
      </c>
      <c r="AQ12" s="497">
        <f t="shared" si="7"/>
        <v>0</v>
      </c>
      <c r="AR12" s="497">
        <f t="shared" si="8"/>
        <v>0</v>
      </c>
      <c r="AS12" s="497">
        <f t="shared" si="9"/>
        <v>0</v>
      </c>
      <c r="AT12" s="497">
        <f t="shared" si="10"/>
        <v>0</v>
      </c>
      <c r="AU12" s="536">
        <f t="shared" si="11"/>
        <v>0</v>
      </c>
      <c r="AV12" s="537" t="s">
        <v>147</v>
      </c>
      <c r="AW12" s="497">
        <f t="shared" ref="AW12:BI12" si="25">E15</f>
        <v>7695</v>
      </c>
      <c r="AX12" s="497">
        <f t="shared" si="25"/>
        <v>7823</v>
      </c>
      <c r="AY12" s="497">
        <f t="shared" si="25"/>
        <v>7918</v>
      </c>
      <c r="AZ12" s="497">
        <f t="shared" si="25"/>
        <v>0</v>
      </c>
      <c r="BA12" s="497">
        <f t="shared" si="25"/>
        <v>0</v>
      </c>
      <c r="BB12" s="497">
        <f t="shared" si="25"/>
        <v>0</v>
      </c>
      <c r="BC12" s="497">
        <f t="shared" si="25"/>
        <v>0</v>
      </c>
      <c r="BD12" s="497">
        <f t="shared" si="25"/>
        <v>0</v>
      </c>
      <c r="BE12" s="497">
        <f t="shared" si="25"/>
        <v>0</v>
      </c>
      <c r="BF12" s="497">
        <f t="shared" si="25"/>
        <v>0</v>
      </c>
      <c r="BG12" s="497">
        <f t="shared" si="25"/>
        <v>0</v>
      </c>
      <c r="BH12" s="497">
        <f t="shared" si="25"/>
        <v>0</v>
      </c>
      <c r="BI12" s="524">
        <f t="shared" si="25"/>
        <v>0</v>
      </c>
      <c r="BJ12" s="537" t="s">
        <v>147</v>
      </c>
      <c r="BK12" s="497">
        <f t="shared" ref="BK12:BW12" si="26">E16</f>
        <v>8</v>
      </c>
      <c r="BL12" s="497">
        <f t="shared" si="26"/>
        <v>15</v>
      </c>
      <c r="BM12" s="497">
        <f t="shared" si="26"/>
        <v>22</v>
      </c>
      <c r="BN12" s="497">
        <f t="shared" si="26"/>
        <v>0</v>
      </c>
      <c r="BO12" s="497">
        <f t="shared" si="26"/>
        <v>0</v>
      </c>
      <c r="BP12" s="497">
        <f t="shared" si="26"/>
        <v>0</v>
      </c>
      <c r="BQ12" s="497">
        <f t="shared" si="26"/>
        <v>0</v>
      </c>
      <c r="BR12" s="497">
        <f t="shared" si="26"/>
        <v>0</v>
      </c>
      <c r="BS12" s="497">
        <f t="shared" si="26"/>
        <v>0</v>
      </c>
      <c r="BT12" s="497">
        <f t="shared" si="26"/>
        <v>0</v>
      </c>
      <c r="BU12" s="497">
        <f t="shared" si="26"/>
        <v>0</v>
      </c>
      <c r="BV12" s="497">
        <f t="shared" si="26"/>
        <v>0</v>
      </c>
      <c r="BW12" s="524">
        <f t="shared" si="26"/>
        <v>0</v>
      </c>
      <c r="BX12" s="537" t="s">
        <v>147</v>
      </c>
      <c r="BY12" s="497">
        <f t="shared" si="20"/>
        <v>128</v>
      </c>
      <c r="BZ12" s="497">
        <f t="shared" si="14"/>
        <v>95</v>
      </c>
      <c r="CA12" s="497">
        <f t="shared" si="14"/>
        <v>0</v>
      </c>
      <c r="CB12" s="497">
        <f t="shared" si="14"/>
        <v>0</v>
      </c>
      <c r="CC12" s="497">
        <f t="shared" si="14"/>
        <v>0</v>
      </c>
      <c r="CD12" s="497">
        <f t="shared" si="14"/>
        <v>0</v>
      </c>
      <c r="CE12" s="497">
        <f t="shared" si="14"/>
        <v>0</v>
      </c>
      <c r="CF12" s="497">
        <f t="shared" si="14"/>
        <v>0</v>
      </c>
      <c r="CG12" s="497">
        <f t="shared" si="14"/>
        <v>0</v>
      </c>
      <c r="CH12" s="497">
        <f t="shared" si="14"/>
        <v>0</v>
      </c>
      <c r="CI12" s="497">
        <f t="shared" si="14"/>
        <v>0</v>
      </c>
      <c r="CJ12" s="524">
        <f t="shared" si="14"/>
        <v>0</v>
      </c>
      <c r="CK12" s="537" t="s">
        <v>147</v>
      </c>
      <c r="CL12" s="497">
        <f t="shared" si="21"/>
        <v>7</v>
      </c>
      <c r="CM12" s="497">
        <f t="shared" si="15"/>
        <v>7</v>
      </c>
      <c r="CN12" s="497">
        <f t="shared" si="15"/>
        <v>0</v>
      </c>
      <c r="CO12" s="497">
        <f t="shared" si="15"/>
        <v>0</v>
      </c>
      <c r="CP12" s="497">
        <f t="shared" si="15"/>
        <v>0</v>
      </c>
      <c r="CQ12" s="497">
        <f t="shared" si="15"/>
        <v>0</v>
      </c>
      <c r="CR12" s="497">
        <f t="shared" si="15"/>
        <v>0</v>
      </c>
      <c r="CS12" s="497">
        <f t="shared" si="15"/>
        <v>0</v>
      </c>
      <c r="CT12" s="497">
        <f t="shared" si="15"/>
        <v>0</v>
      </c>
      <c r="CU12" s="497">
        <f t="shared" si="15"/>
        <v>0</v>
      </c>
      <c r="CV12" s="497">
        <f t="shared" si="15"/>
        <v>0</v>
      </c>
      <c r="CW12" s="497">
        <f t="shared" si="15"/>
        <v>0</v>
      </c>
      <c r="CX12" s="535" t="s">
        <v>147</v>
      </c>
      <c r="CY12" s="497">
        <v>3000</v>
      </c>
      <c r="CZ12" s="497">
        <v>3000</v>
      </c>
      <c r="DA12" s="497">
        <v>3000</v>
      </c>
      <c r="DB12" s="497">
        <v>3000</v>
      </c>
      <c r="DC12" s="497">
        <v>3000</v>
      </c>
      <c r="DD12" s="497">
        <v>3000</v>
      </c>
      <c r="DE12" s="497">
        <v>3000</v>
      </c>
      <c r="DF12" s="497">
        <v>3000</v>
      </c>
      <c r="DG12" s="497">
        <v>3000</v>
      </c>
      <c r="DH12" s="497">
        <v>3000</v>
      </c>
      <c r="DI12" s="497">
        <v>3000</v>
      </c>
      <c r="DJ12" s="524">
        <v>3000</v>
      </c>
      <c r="DK12" s="537" t="s">
        <v>147</v>
      </c>
      <c r="DL12" s="536">
        <v>20000</v>
      </c>
      <c r="DM12" s="536">
        <v>20000</v>
      </c>
      <c r="DN12" s="536">
        <v>20000</v>
      </c>
      <c r="DO12" s="536">
        <v>20000</v>
      </c>
      <c r="DP12" s="536">
        <v>20000</v>
      </c>
      <c r="DQ12" s="536">
        <v>20000</v>
      </c>
      <c r="DR12" s="536">
        <v>20000</v>
      </c>
      <c r="DS12" s="536">
        <v>20000</v>
      </c>
      <c r="DT12" s="536">
        <v>20000</v>
      </c>
      <c r="DU12" s="536">
        <v>20000</v>
      </c>
      <c r="DV12" s="536">
        <v>20000</v>
      </c>
      <c r="DW12" s="536">
        <v>20000</v>
      </c>
      <c r="DX12" s="535" t="s">
        <v>147</v>
      </c>
      <c r="DY12" s="497">
        <v>15000</v>
      </c>
      <c r="DZ12" s="497">
        <v>15000</v>
      </c>
      <c r="EA12" s="497">
        <v>15000</v>
      </c>
      <c r="EB12" s="497">
        <v>15000</v>
      </c>
      <c r="EC12" s="497">
        <v>15000</v>
      </c>
      <c r="ED12" s="497">
        <v>15000</v>
      </c>
      <c r="EE12" s="497">
        <v>15000</v>
      </c>
      <c r="EF12" s="497">
        <v>15000</v>
      </c>
      <c r="EG12" s="497">
        <v>15000</v>
      </c>
      <c r="EH12" s="497">
        <v>15000</v>
      </c>
      <c r="EI12" s="497">
        <v>15000</v>
      </c>
      <c r="EJ12" s="524">
        <v>15000</v>
      </c>
      <c r="EK12" s="537" t="s">
        <v>147</v>
      </c>
      <c r="EL12" s="497"/>
      <c r="EM12" s="497"/>
      <c r="EN12" s="497"/>
      <c r="EO12" s="497"/>
      <c r="EP12" s="497"/>
      <c r="EQ12" s="497"/>
      <c r="ER12" s="497"/>
      <c r="ES12" s="497"/>
      <c r="ET12" s="497"/>
      <c r="EU12" s="497"/>
      <c r="EV12" s="497"/>
      <c r="EW12" s="536"/>
      <c r="EX12" s="535" t="s">
        <v>147</v>
      </c>
      <c r="EY12" s="497"/>
      <c r="EZ12" s="497"/>
      <c r="FA12" s="497"/>
      <c r="FB12" s="497"/>
      <c r="FC12" s="497"/>
      <c r="FD12" s="497"/>
      <c r="FE12" s="497"/>
      <c r="FF12" s="497"/>
      <c r="FG12" s="497"/>
      <c r="FH12" s="497"/>
      <c r="FI12" s="497"/>
      <c r="FJ12" s="538"/>
      <c r="FK12" s="537" t="s">
        <v>147</v>
      </c>
      <c r="FL12" s="536">
        <v>1300000</v>
      </c>
      <c r="FM12" s="497">
        <v>1400000</v>
      </c>
      <c r="FN12" s="497">
        <v>1400000</v>
      </c>
      <c r="FO12" s="497"/>
      <c r="FP12" s="497"/>
      <c r="FQ12" s="497"/>
      <c r="FR12" s="497"/>
      <c r="FS12" s="497"/>
      <c r="FT12" s="497"/>
      <c r="FU12" s="497"/>
      <c r="FV12" s="497"/>
      <c r="FW12" s="536"/>
      <c r="FX12" s="535" t="s">
        <v>147</v>
      </c>
      <c r="FY12" s="497">
        <f t="shared" si="22"/>
        <v>384000</v>
      </c>
      <c r="FZ12" s="497">
        <f t="shared" si="16"/>
        <v>285000</v>
      </c>
      <c r="GA12" s="497">
        <f t="shared" si="16"/>
        <v>0</v>
      </c>
      <c r="GB12" s="497">
        <f t="shared" si="16"/>
        <v>0</v>
      </c>
      <c r="GC12" s="497">
        <f t="shared" si="16"/>
        <v>0</v>
      </c>
      <c r="GD12" s="497">
        <f t="shared" si="16"/>
        <v>0</v>
      </c>
      <c r="GE12" s="497">
        <f t="shared" si="16"/>
        <v>0</v>
      </c>
      <c r="GF12" s="497">
        <f t="shared" si="16"/>
        <v>0</v>
      </c>
      <c r="GG12" s="497">
        <f t="shared" si="16"/>
        <v>0</v>
      </c>
      <c r="GH12" s="497">
        <f t="shared" si="16"/>
        <v>0</v>
      </c>
      <c r="GI12" s="497">
        <f t="shared" si="16"/>
        <v>0</v>
      </c>
      <c r="GJ12" s="497">
        <f t="shared" si="16"/>
        <v>0</v>
      </c>
      <c r="GK12" s="537" t="s">
        <v>147</v>
      </c>
      <c r="GL12" s="497">
        <f t="shared" si="17"/>
        <v>140000</v>
      </c>
      <c r="GM12" s="497">
        <f t="shared" si="17"/>
        <v>140000</v>
      </c>
      <c r="GN12" s="497">
        <f t="shared" si="17"/>
        <v>0</v>
      </c>
      <c r="GO12" s="497">
        <f t="shared" si="17"/>
        <v>0</v>
      </c>
      <c r="GP12" s="497">
        <f t="shared" si="17"/>
        <v>0</v>
      </c>
      <c r="GQ12" s="497">
        <f t="shared" si="17"/>
        <v>0</v>
      </c>
      <c r="GR12" s="497">
        <f t="shared" si="17"/>
        <v>0</v>
      </c>
      <c r="GS12" s="497">
        <f t="shared" si="17"/>
        <v>0</v>
      </c>
      <c r="GT12" s="497">
        <f t="shared" si="17"/>
        <v>0</v>
      </c>
      <c r="GU12" s="497">
        <f t="shared" si="17"/>
        <v>0</v>
      </c>
      <c r="GV12" s="497">
        <f t="shared" si="17"/>
        <v>0</v>
      </c>
      <c r="GW12" s="497">
        <f t="shared" si="17"/>
        <v>0</v>
      </c>
      <c r="GX12" s="537" t="s">
        <v>147</v>
      </c>
      <c r="GY12" s="173">
        <f>Y15</f>
        <v>500</v>
      </c>
      <c r="GZ12" s="173">
        <f>U15</f>
        <v>15000</v>
      </c>
      <c r="HA12" s="173">
        <f>V15</f>
        <v>0</v>
      </c>
      <c r="HB12" s="173">
        <f>W15</f>
        <v>0</v>
      </c>
      <c r="HC12" s="534"/>
      <c r="HD12" s="534"/>
    </row>
    <row r="13" spans="1:212" ht="15.75" customHeight="1">
      <c r="A13" s="78">
        <v>5</v>
      </c>
      <c r="B13" s="934" t="s">
        <v>141</v>
      </c>
      <c r="C13" s="919" t="s">
        <v>142</v>
      </c>
      <c r="D13" s="660" t="s">
        <v>128</v>
      </c>
      <c r="E13" s="661">
        <v>954</v>
      </c>
      <c r="F13" s="661">
        <v>1009</v>
      </c>
      <c r="G13" s="661">
        <v>1052</v>
      </c>
      <c r="H13" s="661"/>
      <c r="I13" s="661"/>
      <c r="J13" s="661"/>
      <c r="K13" s="661"/>
      <c r="L13" s="661"/>
      <c r="M13" s="661"/>
      <c r="N13" s="661"/>
      <c r="O13" s="661"/>
      <c r="P13" s="661"/>
      <c r="Q13" s="666"/>
      <c r="R13" s="89"/>
      <c r="S13" s="90"/>
      <c r="T13" s="90">
        <v>1400</v>
      </c>
      <c r="U13" s="90">
        <v>15000</v>
      </c>
      <c r="V13" s="90">
        <v>20000</v>
      </c>
      <c r="W13" s="90">
        <v>0</v>
      </c>
      <c r="X13" s="21" t="s">
        <v>131</v>
      </c>
      <c r="Y13" s="90">
        <v>1000</v>
      </c>
      <c r="Z13" s="90">
        <v>3000</v>
      </c>
      <c r="AA13" s="498" t="s">
        <v>142</v>
      </c>
      <c r="AB13" s="90" t="s">
        <v>132</v>
      </c>
      <c r="AC13" s="534">
        <v>5</v>
      </c>
      <c r="AD13" s="530">
        <v>3</v>
      </c>
      <c r="AE13" s="534"/>
      <c r="AF13" s="534">
        <v>5</v>
      </c>
      <c r="AG13" s="535" t="s">
        <v>149</v>
      </c>
      <c r="AH13" s="535" t="str">
        <f>B17</f>
        <v>Huỳnh Văn Tâm</v>
      </c>
      <c r="AI13" s="497">
        <v>2673000</v>
      </c>
      <c r="AJ13" s="497">
        <f t="shared" si="0"/>
        <v>2740000</v>
      </c>
      <c r="AK13" s="497">
        <f t="shared" si="1"/>
        <v>2818000</v>
      </c>
      <c r="AL13" s="497">
        <f t="shared" si="2"/>
        <v>0</v>
      </c>
      <c r="AM13" s="497">
        <f t="shared" si="3"/>
        <v>0</v>
      </c>
      <c r="AN13" s="497">
        <f t="shared" si="4"/>
        <v>0</v>
      </c>
      <c r="AO13" s="497">
        <f t="shared" si="5"/>
        <v>0</v>
      </c>
      <c r="AP13" s="497">
        <f t="shared" si="6"/>
        <v>0</v>
      </c>
      <c r="AQ13" s="497">
        <f t="shared" si="7"/>
        <v>0</v>
      </c>
      <c r="AR13" s="497">
        <f t="shared" si="8"/>
        <v>0</v>
      </c>
      <c r="AS13" s="497">
        <f t="shared" si="9"/>
        <v>0</v>
      </c>
      <c r="AT13" s="497">
        <f t="shared" si="10"/>
        <v>0</v>
      </c>
      <c r="AU13" s="536">
        <f t="shared" si="11"/>
        <v>0</v>
      </c>
      <c r="AV13" s="537" t="s">
        <v>149</v>
      </c>
      <c r="AW13" s="497">
        <f t="shared" ref="AW13:BI13" si="27">E17</f>
        <v>11216</v>
      </c>
      <c r="AX13" s="497">
        <f t="shared" si="27"/>
        <v>11411</v>
      </c>
      <c r="AY13" s="497">
        <f t="shared" si="27"/>
        <v>11612</v>
      </c>
      <c r="AZ13" s="497">
        <f t="shared" si="27"/>
        <v>0</v>
      </c>
      <c r="BA13" s="497">
        <f t="shared" si="27"/>
        <v>0</v>
      </c>
      <c r="BB13" s="497">
        <f t="shared" si="27"/>
        <v>0</v>
      </c>
      <c r="BC13" s="497">
        <f t="shared" si="27"/>
        <v>0</v>
      </c>
      <c r="BD13" s="497">
        <f t="shared" si="27"/>
        <v>0</v>
      </c>
      <c r="BE13" s="497">
        <f t="shared" si="27"/>
        <v>0</v>
      </c>
      <c r="BF13" s="497">
        <f t="shared" si="27"/>
        <v>0</v>
      </c>
      <c r="BG13" s="497">
        <f t="shared" si="27"/>
        <v>0</v>
      </c>
      <c r="BH13" s="497">
        <f t="shared" si="27"/>
        <v>0</v>
      </c>
      <c r="BI13" s="524">
        <f t="shared" si="27"/>
        <v>0</v>
      </c>
      <c r="BJ13" s="537" t="s">
        <v>149</v>
      </c>
      <c r="BK13" s="497">
        <f t="shared" ref="BK13:BW13" si="28">E18</f>
        <v>960</v>
      </c>
      <c r="BL13" s="497">
        <f t="shared" si="28"/>
        <v>981</v>
      </c>
      <c r="BM13" s="497">
        <f t="shared" si="28"/>
        <v>1000</v>
      </c>
      <c r="BN13" s="497">
        <f t="shared" si="28"/>
        <v>0</v>
      </c>
      <c r="BO13" s="497">
        <f t="shared" si="28"/>
        <v>0</v>
      </c>
      <c r="BP13" s="497">
        <f t="shared" si="28"/>
        <v>0</v>
      </c>
      <c r="BQ13" s="497">
        <f t="shared" si="28"/>
        <v>0</v>
      </c>
      <c r="BR13" s="497">
        <f t="shared" si="28"/>
        <v>0</v>
      </c>
      <c r="BS13" s="497">
        <f t="shared" si="28"/>
        <v>0</v>
      </c>
      <c r="BT13" s="497">
        <f t="shared" si="28"/>
        <v>0</v>
      </c>
      <c r="BU13" s="497">
        <f t="shared" si="28"/>
        <v>0</v>
      </c>
      <c r="BV13" s="497">
        <f t="shared" si="28"/>
        <v>0</v>
      </c>
      <c r="BW13" s="524">
        <f t="shared" si="28"/>
        <v>0</v>
      </c>
      <c r="BX13" s="537" t="s">
        <v>149</v>
      </c>
      <c r="BY13" s="497">
        <f t="shared" si="20"/>
        <v>195</v>
      </c>
      <c r="BZ13" s="497">
        <f t="shared" si="14"/>
        <v>201</v>
      </c>
      <c r="CA13" s="497">
        <f t="shared" si="14"/>
        <v>0</v>
      </c>
      <c r="CB13" s="497">
        <f t="shared" si="14"/>
        <v>0</v>
      </c>
      <c r="CC13" s="497">
        <f t="shared" si="14"/>
        <v>0</v>
      </c>
      <c r="CD13" s="497">
        <f t="shared" si="14"/>
        <v>0</v>
      </c>
      <c r="CE13" s="497">
        <f t="shared" si="14"/>
        <v>0</v>
      </c>
      <c r="CF13" s="497">
        <f t="shared" si="14"/>
        <v>0</v>
      </c>
      <c r="CG13" s="497">
        <f t="shared" si="14"/>
        <v>0</v>
      </c>
      <c r="CH13" s="497">
        <f t="shared" si="14"/>
        <v>0</v>
      </c>
      <c r="CI13" s="497">
        <f t="shared" si="14"/>
        <v>0</v>
      </c>
      <c r="CJ13" s="524">
        <f t="shared" si="14"/>
        <v>0</v>
      </c>
      <c r="CK13" s="537" t="s">
        <v>149</v>
      </c>
      <c r="CL13" s="497">
        <f t="shared" si="21"/>
        <v>21</v>
      </c>
      <c r="CM13" s="497">
        <f t="shared" si="15"/>
        <v>19</v>
      </c>
      <c r="CN13" s="497">
        <f t="shared" si="15"/>
        <v>0</v>
      </c>
      <c r="CO13" s="497">
        <f t="shared" si="15"/>
        <v>0</v>
      </c>
      <c r="CP13" s="497">
        <f t="shared" si="15"/>
        <v>0</v>
      </c>
      <c r="CQ13" s="497">
        <f t="shared" si="15"/>
        <v>0</v>
      </c>
      <c r="CR13" s="497">
        <f t="shared" si="15"/>
        <v>0</v>
      </c>
      <c r="CS13" s="497">
        <f t="shared" si="15"/>
        <v>0</v>
      </c>
      <c r="CT13" s="497">
        <f t="shared" si="15"/>
        <v>0</v>
      </c>
      <c r="CU13" s="497">
        <f t="shared" si="15"/>
        <v>0</v>
      </c>
      <c r="CV13" s="497">
        <f t="shared" si="15"/>
        <v>0</v>
      </c>
      <c r="CW13" s="536">
        <f t="shared" si="15"/>
        <v>0</v>
      </c>
      <c r="CX13" s="535" t="s">
        <v>149</v>
      </c>
      <c r="CY13" s="497">
        <v>3000</v>
      </c>
      <c r="CZ13" s="497">
        <v>3000</v>
      </c>
      <c r="DA13" s="497">
        <v>3000</v>
      </c>
      <c r="DB13" s="497">
        <v>3000</v>
      </c>
      <c r="DC13" s="497">
        <v>3000</v>
      </c>
      <c r="DD13" s="497">
        <v>3000</v>
      </c>
      <c r="DE13" s="497">
        <v>3000</v>
      </c>
      <c r="DF13" s="497">
        <v>3000</v>
      </c>
      <c r="DG13" s="497">
        <v>3000</v>
      </c>
      <c r="DH13" s="497">
        <v>3000</v>
      </c>
      <c r="DI13" s="497">
        <v>3000</v>
      </c>
      <c r="DJ13" s="524">
        <v>3000</v>
      </c>
      <c r="DK13" s="537" t="s">
        <v>149</v>
      </c>
      <c r="DL13" s="536">
        <v>20000</v>
      </c>
      <c r="DM13" s="536">
        <v>20000</v>
      </c>
      <c r="DN13" s="536">
        <v>20000</v>
      </c>
      <c r="DO13" s="536">
        <v>20000</v>
      </c>
      <c r="DP13" s="536">
        <v>20000</v>
      </c>
      <c r="DQ13" s="536">
        <v>20000</v>
      </c>
      <c r="DR13" s="536">
        <v>20000</v>
      </c>
      <c r="DS13" s="536">
        <v>20000</v>
      </c>
      <c r="DT13" s="536">
        <v>20000</v>
      </c>
      <c r="DU13" s="536">
        <v>20000</v>
      </c>
      <c r="DV13" s="536">
        <v>20000</v>
      </c>
      <c r="DW13" s="536">
        <v>20000</v>
      </c>
      <c r="DX13" s="535" t="s">
        <v>149</v>
      </c>
      <c r="DY13" s="497">
        <v>15000</v>
      </c>
      <c r="DZ13" s="497">
        <v>15000</v>
      </c>
      <c r="EA13" s="497">
        <v>15000</v>
      </c>
      <c r="EB13" s="497">
        <v>15000</v>
      </c>
      <c r="EC13" s="497">
        <v>15000</v>
      </c>
      <c r="ED13" s="497">
        <v>15000</v>
      </c>
      <c r="EE13" s="497">
        <v>15000</v>
      </c>
      <c r="EF13" s="497">
        <v>15000</v>
      </c>
      <c r="EG13" s="497">
        <v>15000</v>
      </c>
      <c r="EH13" s="497">
        <v>15000</v>
      </c>
      <c r="EI13" s="497">
        <v>15000</v>
      </c>
      <c r="EJ13" s="524">
        <v>15000</v>
      </c>
      <c r="EK13" s="537" t="s">
        <v>149</v>
      </c>
      <c r="EL13" s="497">
        <v>20000</v>
      </c>
      <c r="EM13" s="497">
        <v>20000</v>
      </c>
      <c r="EN13" s="497">
        <v>20000</v>
      </c>
      <c r="EO13" s="497">
        <v>20000</v>
      </c>
      <c r="EP13" s="497">
        <v>20000</v>
      </c>
      <c r="EQ13" s="497">
        <v>20000</v>
      </c>
      <c r="ER13" s="497">
        <v>20000</v>
      </c>
      <c r="ES13" s="497">
        <v>20000</v>
      </c>
      <c r="ET13" s="497">
        <v>20000</v>
      </c>
      <c r="EU13" s="497">
        <v>20000</v>
      </c>
      <c r="EV13" s="497">
        <v>20000</v>
      </c>
      <c r="EW13" s="536">
        <v>20000</v>
      </c>
      <c r="EX13" s="535" t="s">
        <v>149</v>
      </c>
      <c r="EY13" s="497"/>
      <c r="EZ13" s="497"/>
      <c r="FA13" s="497"/>
      <c r="FB13" s="497"/>
      <c r="FC13" s="497"/>
      <c r="FD13" s="497"/>
      <c r="FE13" s="497"/>
      <c r="FF13" s="497"/>
      <c r="FG13" s="497"/>
      <c r="FH13" s="497"/>
      <c r="FI13" s="497"/>
      <c r="FJ13" s="538"/>
      <c r="FK13" s="537" t="s">
        <v>149</v>
      </c>
      <c r="FL13" s="536">
        <v>1700000</v>
      </c>
      <c r="FM13" s="497">
        <v>1800000</v>
      </c>
      <c r="FN13" s="497">
        <v>1800000</v>
      </c>
      <c r="FO13" s="497"/>
      <c r="FP13" s="497"/>
      <c r="FQ13" s="497"/>
      <c r="FR13" s="497"/>
      <c r="FS13" s="497"/>
      <c r="FT13" s="497"/>
      <c r="FU13" s="497"/>
      <c r="FV13" s="497"/>
      <c r="FW13" s="536"/>
      <c r="FX13" s="535" t="s">
        <v>149</v>
      </c>
      <c r="FY13" s="497">
        <f t="shared" si="22"/>
        <v>585000</v>
      </c>
      <c r="FZ13" s="497">
        <f t="shared" si="16"/>
        <v>603000</v>
      </c>
      <c r="GA13" s="497">
        <f t="shared" si="16"/>
        <v>0</v>
      </c>
      <c r="GB13" s="497">
        <f t="shared" si="16"/>
        <v>0</v>
      </c>
      <c r="GC13" s="497">
        <f t="shared" si="16"/>
        <v>0</v>
      </c>
      <c r="GD13" s="497">
        <f t="shared" si="16"/>
        <v>0</v>
      </c>
      <c r="GE13" s="497">
        <f t="shared" si="16"/>
        <v>0</v>
      </c>
      <c r="GF13" s="497">
        <f t="shared" si="16"/>
        <v>0</v>
      </c>
      <c r="GG13" s="497">
        <f t="shared" si="16"/>
        <v>0</v>
      </c>
      <c r="GH13" s="497">
        <f t="shared" si="16"/>
        <v>0</v>
      </c>
      <c r="GI13" s="497">
        <f t="shared" si="16"/>
        <v>0</v>
      </c>
      <c r="GJ13" s="497">
        <f t="shared" si="16"/>
        <v>0</v>
      </c>
      <c r="GK13" s="537" t="s">
        <v>149</v>
      </c>
      <c r="GL13" s="497">
        <f t="shared" si="17"/>
        <v>420000</v>
      </c>
      <c r="GM13" s="497">
        <f t="shared" si="17"/>
        <v>380000</v>
      </c>
      <c r="GN13" s="497">
        <f t="shared" si="17"/>
        <v>0</v>
      </c>
      <c r="GO13" s="497">
        <f t="shared" si="17"/>
        <v>0</v>
      </c>
      <c r="GP13" s="497">
        <f t="shared" si="17"/>
        <v>0</v>
      </c>
      <c r="GQ13" s="497">
        <f t="shared" si="17"/>
        <v>0</v>
      </c>
      <c r="GR13" s="497">
        <f t="shared" si="17"/>
        <v>0</v>
      </c>
      <c r="GS13" s="497">
        <f t="shared" si="17"/>
        <v>0</v>
      </c>
      <c r="GT13" s="497">
        <f t="shared" si="17"/>
        <v>0</v>
      </c>
      <c r="GU13" s="497">
        <f t="shared" si="17"/>
        <v>0</v>
      </c>
      <c r="GV13" s="497">
        <f t="shared" si="17"/>
        <v>0</v>
      </c>
      <c r="GW13" s="497">
        <f t="shared" si="17"/>
        <v>0</v>
      </c>
      <c r="GX13" s="537" t="s">
        <v>149</v>
      </c>
      <c r="GY13" s="173">
        <f>Y17</f>
        <v>500</v>
      </c>
      <c r="GZ13" s="173">
        <f>U17</f>
        <v>15000</v>
      </c>
      <c r="HA13" s="173">
        <f>V17</f>
        <v>20000</v>
      </c>
      <c r="HB13" s="173">
        <f>W17</f>
        <v>0</v>
      </c>
      <c r="HC13" s="534"/>
      <c r="HD13" s="534"/>
    </row>
    <row r="14" spans="1:212" ht="15.75" customHeight="1">
      <c r="A14" s="95">
        <v>6</v>
      </c>
      <c r="B14" s="935"/>
      <c r="C14" s="920"/>
      <c r="D14" s="660" t="s">
        <v>139</v>
      </c>
      <c r="E14" s="661">
        <v>8</v>
      </c>
      <c r="F14" s="661">
        <v>16</v>
      </c>
      <c r="G14" s="661">
        <v>22</v>
      </c>
      <c r="H14" s="661"/>
      <c r="I14" s="661"/>
      <c r="J14" s="661"/>
      <c r="K14" s="661"/>
      <c r="L14" s="661"/>
      <c r="M14" s="661"/>
      <c r="N14" s="661"/>
      <c r="O14" s="661"/>
      <c r="P14" s="661"/>
      <c r="Q14" s="666"/>
      <c r="R14" s="89"/>
      <c r="S14" s="90"/>
      <c r="T14" s="90"/>
      <c r="U14" s="90"/>
      <c r="V14" s="90"/>
      <c r="W14" s="90"/>
      <c r="X14" s="21"/>
      <c r="Y14" s="90"/>
      <c r="Z14" s="90">
        <v>20000</v>
      </c>
      <c r="AA14" s="498" t="s">
        <v>142</v>
      </c>
      <c r="AB14" s="90" t="s">
        <v>132</v>
      </c>
      <c r="AC14" s="534">
        <v>6</v>
      </c>
      <c r="AD14" s="530"/>
      <c r="AE14" s="534">
        <v>3</v>
      </c>
      <c r="AF14" s="534">
        <v>6</v>
      </c>
      <c r="AG14" s="535" t="s">
        <v>153</v>
      </c>
      <c r="AH14" s="535" t="str">
        <f>B19</f>
        <v>Đỗ Văn Nhất</v>
      </c>
      <c r="AI14" s="497">
        <v>1959000</v>
      </c>
      <c r="AJ14" s="497">
        <f t="shared" si="0"/>
        <v>2014000</v>
      </c>
      <c r="AK14" s="497">
        <f t="shared" si="1"/>
        <v>1966000</v>
      </c>
      <c r="AL14" s="497">
        <f t="shared" si="2"/>
        <v>0</v>
      </c>
      <c r="AM14" s="497">
        <f t="shared" si="3"/>
        <v>0</v>
      </c>
      <c r="AN14" s="497">
        <f t="shared" si="4"/>
        <v>0</v>
      </c>
      <c r="AO14" s="497">
        <f t="shared" si="5"/>
        <v>0</v>
      </c>
      <c r="AP14" s="497">
        <f t="shared" si="6"/>
        <v>0</v>
      </c>
      <c r="AQ14" s="497">
        <f t="shared" si="7"/>
        <v>0</v>
      </c>
      <c r="AR14" s="497">
        <f t="shared" si="8"/>
        <v>0</v>
      </c>
      <c r="AS14" s="497">
        <f t="shared" si="9"/>
        <v>0</v>
      </c>
      <c r="AT14" s="497">
        <f t="shared" si="10"/>
        <v>0</v>
      </c>
      <c r="AU14" s="536">
        <f t="shared" si="11"/>
        <v>0</v>
      </c>
      <c r="AV14" s="537" t="s">
        <v>153</v>
      </c>
      <c r="AW14" s="497">
        <f t="shared" ref="AW14:BI14" si="29">E19</f>
        <v>8113</v>
      </c>
      <c r="AX14" s="497">
        <f t="shared" si="29"/>
        <v>8166</v>
      </c>
      <c r="AY14" s="497">
        <f t="shared" si="29"/>
        <v>8183</v>
      </c>
      <c r="AZ14" s="497">
        <f t="shared" si="29"/>
        <v>0</v>
      </c>
      <c r="BA14" s="497">
        <f t="shared" si="29"/>
        <v>0</v>
      </c>
      <c r="BB14" s="497">
        <f t="shared" si="29"/>
        <v>0</v>
      </c>
      <c r="BC14" s="497">
        <f t="shared" si="29"/>
        <v>0</v>
      </c>
      <c r="BD14" s="497">
        <f t="shared" si="29"/>
        <v>0</v>
      </c>
      <c r="BE14" s="497">
        <f t="shared" si="29"/>
        <v>0</v>
      </c>
      <c r="BF14" s="497">
        <f t="shared" si="29"/>
        <v>0</v>
      </c>
      <c r="BG14" s="497">
        <f t="shared" si="29"/>
        <v>0</v>
      </c>
      <c r="BH14" s="497">
        <f t="shared" si="29"/>
        <v>0</v>
      </c>
      <c r="BI14" s="524">
        <f t="shared" si="29"/>
        <v>0</v>
      </c>
      <c r="BJ14" s="537" t="s">
        <v>153</v>
      </c>
      <c r="BK14" s="497">
        <f t="shared" ref="BK14:BW14" si="30">E20</f>
        <v>1322</v>
      </c>
      <c r="BL14" s="497">
        <f t="shared" si="30"/>
        <v>1329</v>
      </c>
      <c r="BM14" s="497">
        <f t="shared" si="30"/>
        <v>1334</v>
      </c>
      <c r="BN14" s="497">
        <f t="shared" si="30"/>
        <v>0</v>
      </c>
      <c r="BO14" s="497">
        <f t="shared" si="30"/>
        <v>0</v>
      </c>
      <c r="BP14" s="497">
        <f t="shared" si="30"/>
        <v>0</v>
      </c>
      <c r="BQ14" s="497">
        <f t="shared" si="30"/>
        <v>0</v>
      </c>
      <c r="BR14" s="497">
        <f t="shared" si="30"/>
        <v>0</v>
      </c>
      <c r="BS14" s="497">
        <f t="shared" si="30"/>
        <v>0</v>
      </c>
      <c r="BT14" s="497">
        <f t="shared" si="30"/>
        <v>0</v>
      </c>
      <c r="BU14" s="497">
        <f t="shared" si="30"/>
        <v>0</v>
      </c>
      <c r="BV14" s="497">
        <f t="shared" si="30"/>
        <v>0</v>
      </c>
      <c r="BW14" s="524">
        <f t="shared" si="30"/>
        <v>0</v>
      </c>
      <c r="BX14" s="537" t="s">
        <v>153</v>
      </c>
      <c r="BY14" s="497">
        <f t="shared" si="20"/>
        <v>53</v>
      </c>
      <c r="BZ14" s="497">
        <f t="shared" si="14"/>
        <v>17</v>
      </c>
      <c r="CA14" s="497">
        <f t="shared" si="14"/>
        <v>0</v>
      </c>
      <c r="CB14" s="497">
        <f t="shared" si="14"/>
        <v>0</v>
      </c>
      <c r="CC14" s="497">
        <f t="shared" si="14"/>
        <v>0</v>
      </c>
      <c r="CD14" s="497">
        <f t="shared" si="14"/>
        <v>0</v>
      </c>
      <c r="CE14" s="497">
        <f t="shared" si="14"/>
        <v>0</v>
      </c>
      <c r="CF14" s="497">
        <f t="shared" si="14"/>
        <v>0</v>
      </c>
      <c r="CG14" s="497">
        <f t="shared" si="14"/>
        <v>0</v>
      </c>
      <c r="CH14" s="497">
        <f t="shared" si="14"/>
        <v>0</v>
      </c>
      <c r="CI14" s="497">
        <f t="shared" si="14"/>
        <v>0</v>
      </c>
      <c r="CJ14" s="524">
        <f t="shared" si="14"/>
        <v>0</v>
      </c>
      <c r="CK14" s="537" t="s">
        <v>153</v>
      </c>
      <c r="CL14" s="497">
        <f t="shared" si="21"/>
        <v>7</v>
      </c>
      <c r="CM14" s="497">
        <f t="shared" si="15"/>
        <v>5</v>
      </c>
      <c r="CN14" s="497">
        <f t="shared" si="15"/>
        <v>0</v>
      </c>
      <c r="CO14" s="497">
        <f t="shared" si="15"/>
        <v>0</v>
      </c>
      <c r="CP14" s="497">
        <f t="shared" si="15"/>
        <v>0</v>
      </c>
      <c r="CQ14" s="497">
        <f t="shared" si="15"/>
        <v>0</v>
      </c>
      <c r="CR14" s="497">
        <f t="shared" si="15"/>
        <v>0</v>
      </c>
      <c r="CS14" s="497">
        <f t="shared" si="15"/>
        <v>0</v>
      </c>
      <c r="CT14" s="497">
        <f t="shared" si="15"/>
        <v>0</v>
      </c>
      <c r="CU14" s="497">
        <f t="shared" si="15"/>
        <v>0</v>
      </c>
      <c r="CV14" s="497">
        <f t="shared" si="15"/>
        <v>0</v>
      </c>
      <c r="CW14" s="536">
        <f t="shared" si="15"/>
        <v>0</v>
      </c>
      <c r="CX14" s="535" t="s">
        <v>153</v>
      </c>
      <c r="CY14" s="497">
        <v>3000</v>
      </c>
      <c r="CZ14" s="497">
        <v>3000</v>
      </c>
      <c r="DA14" s="497">
        <v>3000</v>
      </c>
      <c r="DB14" s="497">
        <v>3000</v>
      </c>
      <c r="DC14" s="497">
        <v>3000</v>
      </c>
      <c r="DD14" s="497">
        <v>3000</v>
      </c>
      <c r="DE14" s="497">
        <v>3000</v>
      </c>
      <c r="DF14" s="497">
        <v>3000</v>
      </c>
      <c r="DG14" s="497">
        <v>3000</v>
      </c>
      <c r="DH14" s="497">
        <v>3000</v>
      </c>
      <c r="DI14" s="497">
        <v>3000</v>
      </c>
      <c r="DJ14" s="524">
        <v>3000</v>
      </c>
      <c r="DK14" s="537" t="s">
        <v>153</v>
      </c>
      <c r="DL14" s="536">
        <v>20000</v>
      </c>
      <c r="DM14" s="536">
        <v>20000</v>
      </c>
      <c r="DN14" s="536">
        <v>20000</v>
      </c>
      <c r="DO14" s="536">
        <v>20000</v>
      </c>
      <c r="DP14" s="536">
        <v>20000</v>
      </c>
      <c r="DQ14" s="536">
        <v>20000</v>
      </c>
      <c r="DR14" s="536">
        <v>20000</v>
      </c>
      <c r="DS14" s="536">
        <v>20000</v>
      </c>
      <c r="DT14" s="536">
        <v>20000</v>
      </c>
      <c r="DU14" s="536">
        <v>20000</v>
      </c>
      <c r="DV14" s="536">
        <v>20000</v>
      </c>
      <c r="DW14" s="536">
        <v>20000</v>
      </c>
      <c r="DX14" s="535" t="s">
        <v>153</v>
      </c>
      <c r="DY14" s="497">
        <v>15000</v>
      </c>
      <c r="DZ14" s="497">
        <v>15000</v>
      </c>
      <c r="EA14" s="497">
        <v>15000</v>
      </c>
      <c r="EB14" s="497">
        <v>15000</v>
      </c>
      <c r="EC14" s="497">
        <v>15000</v>
      </c>
      <c r="ED14" s="497">
        <v>15000</v>
      </c>
      <c r="EE14" s="497">
        <v>15000</v>
      </c>
      <c r="EF14" s="497">
        <v>15000</v>
      </c>
      <c r="EG14" s="497">
        <v>15000</v>
      </c>
      <c r="EH14" s="497">
        <v>15000</v>
      </c>
      <c r="EI14" s="497">
        <v>15000</v>
      </c>
      <c r="EJ14" s="524">
        <v>15000</v>
      </c>
      <c r="EK14" s="537" t="s">
        <v>153</v>
      </c>
      <c r="EL14" s="497"/>
      <c r="EM14" s="497"/>
      <c r="EN14" s="497"/>
      <c r="EO14" s="497"/>
      <c r="EP14" s="497"/>
      <c r="EQ14" s="497"/>
      <c r="ER14" s="497"/>
      <c r="ES14" s="497"/>
      <c r="ET14" s="497"/>
      <c r="EU14" s="497"/>
      <c r="EV14" s="497"/>
      <c r="EW14" s="536"/>
      <c r="EX14" s="535" t="s">
        <v>153</v>
      </c>
      <c r="EY14" s="497"/>
      <c r="EZ14" s="497"/>
      <c r="FA14" s="497"/>
      <c r="FB14" s="497"/>
      <c r="FC14" s="497"/>
      <c r="FD14" s="497"/>
      <c r="FE14" s="497"/>
      <c r="FF14" s="497"/>
      <c r="FG14" s="497"/>
      <c r="FH14" s="497"/>
      <c r="FI14" s="497"/>
      <c r="FJ14" s="538"/>
      <c r="FK14" s="537" t="s">
        <v>153</v>
      </c>
      <c r="FL14" s="536">
        <v>1700000</v>
      </c>
      <c r="FM14" s="497">
        <v>1800000</v>
      </c>
      <c r="FN14" s="497">
        <v>1800000</v>
      </c>
      <c r="FO14" s="497"/>
      <c r="FP14" s="497"/>
      <c r="FQ14" s="497"/>
      <c r="FR14" s="497"/>
      <c r="FS14" s="497"/>
      <c r="FT14" s="497"/>
      <c r="FU14" s="497"/>
      <c r="FV14" s="497"/>
      <c r="FW14" s="536"/>
      <c r="FX14" s="535" t="s">
        <v>153</v>
      </c>
      <c r="FY14" s="497">
        <f t="shared" si="22"/>
        <v>159000</v>
      </c>
      <c r="FZ14" s="497">
        <f t="shared" si="16"/>
        <v>51000</v>
      </c>
      <c r="GA14" s="497">
        <f t="shared" si="16"/>
        <v>0</v>
      </c>
      <c r="GB14" s="497">
        <f t="shared" si="16"/>
        <v>0</v>
      </c>
      <c r="GC14" s="497">
        <f t="shared" si="16"/>
        <v>0</v>
      </c>
      <c r="GD14" s="497">
        <f t="shared" si="16"/>
        <v>0</v>
      </c>
      <c r="GE14" s="497">
        <f t="shared" si="16"/>
        <v>0</v>
      </c>
      <c r="GF14" s="497">
        <f t="shared" si="16"/>
        <v>0</v>
      </c>
      <c r="GG14" s="497">
        <f t="shared" si="16"/>
        <v>0</v>
      </c>
      <c r="GH14" s="497">
        <f t="shared" si="16"/>
        <v>0</v>
      </c>
      <c r="GI14" s="497">
        <f t="shared" si="16"/>
        <v>0</v>
      </c>
      <c r="GJ14" s="497">
        <f t="shared" si="16"/>
        <v>0</v>
      </c>
      <c r="GK14" s="537" t="s">
        <v>153</v>
      </c>
      <c r="GL14" s="497">
        <f t="shared" si="17"/>
        <v>140000</v>
      </c>
      <c r="GM14" s="497">
        <f t="shared" si="17"/>
        <v>100000</v>
      </c>
      <c r="GN14" s="497">
        <f t="shared" si="17"/>
        <v>0</v>
      </c>
      <c r="GO14" s="497">
        <f t="shared" si="17"/>
        <v>0</v>
      </c>
      <c r="GP14" s="497">
        <f t="shared" si="17"/>
        <v>0</v>
      </c>
      <c r="GQ14" s="497">
        <f t="shared" si="17"/>
        <v>0</v>
      </c>
      <c r="GR14" s="497">
        <f t="shared" si="17"/>
        <v>0</v>
      </c>
      <c r="GS14" s="497">
        <f t="shared" si="17"/>
        <v>0</v>
      </c>
      <c r="GT14" s="497">
        <f t="shared" si="17"/>
        <v>0</v>
      </c>
      <c r="GU14" s="497">
        <f t="shared" si="17"/>
        <v>0</v>
      </c>
      <c r="GV14" s="497">
        <f t="shared" si="17"/>
        <v>0</v>
      </c>
      <c r="GW14" s="497">
        <f t="shared" si="17"/>
        <v>0</v>
      </c>
      <c r="GX14" s="537" t="s">
        <v>153</v>
      </c>
      <c r="GY14" s="173">
        <f>Y19</f>
        <v>500</v>
      </c>
      <c r="GZ14" s="173">
        <f>U19</f>
        <v>15000</v>
      </c>
      <c r="HA14" s="173">
        <f>V19</f>
        <v>0</v>
      </c>
      <c r="HB14" s="173">
        <f>W19</f>
        <v>0</v>
      </c>
      <c r="HC14" s="530"/>
      <c r="HD14" s="534"/>
    </row>
    <row r="15" spans="1:212" ht="15.75" customHeight="1">
      <c r="A15" s="78">
        <v>7</v>
      </c>
      <c r="B15" s="936" t="s">
        <v>146</v>
      </c>
      <c r="C15" s="921" t="s">
        <v>147</v>
      </c>
      <c r="D15" s="662" t="s">
        <v>128</v>
      </c>
      <c r="E15" s="302">
        <v>7695</v>
      </c>
      <c r="F15" s="302">
        <v>7823</v>
      </c>
      <c r="G15" s="302">
        <v>7918</v>
      </c>
      <c r="H15" s="302"/>
      <c r="I15" s="302"/>
      <c r="J15" s="302"/>
      <c r="K15" s="302"/>
      <c r="L15" s="302"/>
      <c r="M15" s="302"/>
      <c r="N15" s="302"/>
      <c r="O15" s="302"/>
      <c r="P15" s="302"/>
      <c r="Q15" s="305"/>
      <c r="R15" s="90"/>
      <c r="S15" s="90"/>
      <c r="T15" s="90">
        <v>1400</v>
      </c>
      <c r="U15" s="90">
        <v>15000</v>
      </c>
      <c r="V15" s="90">
        <v>0</v>
      </c>
      <c r="W15" s="90">
        <v>0</v>
      </c>
      <c r="X15" s="21" t="s">
        <v>131</v>
      </c>
      <c r="Y15" s="90">
        <v>500</v>
      </c>
      <c r="Z15" s="90">
        <v>3000</v>
      </c>
      <c r="AA15" s="498" t="s">
        <v>147</v>
      </c>
      <c r="AB15" s="90" t="s">
        <v>132</v>
      </c>
      <c r="AC15" s="534">
        <v>7</v>
      </c>
      <c r="AD15" s="534">
        <v>4</v>
      </c>
      <c r="AE15" s="534"/>
      <c r="AF15" s="534">
        <v>7</v>
      </c>
      <c r="AG15" s="535" t="s">
        <v>162</v>
      </c>
      <c r="AH15" s="535" t="str">
        <f>B21</f>
        <v>Huỳnh Thị Thu Thúy</v>
      </c>
      <c r="AI15" s="497">
        <v>2020000</v>
      </c>
      <c r="AJ15" s="497">
        <f t="shared" si="0"/>
        <v>2035000</v>
      </c>
      <c r="AK15" s="497">
        <f t="shared" si="1"/>
        <v>2550000</v>
      </c>
      <c r="AL15" s="497">
        <f t="shared" si="2"/>
        <v>0</v>
      </c>
      <c r="AM15" s="497">
        <f t="shared" si="3"/>
        <v>0</v>
      </c>
      <c r="AN15" s="497">
        <f t="shared" si="4"/>
        <v>0</v>
      </c>
      <c r="AO15" s="497">
        <f t="shared" si="5"/>
        <v>0</v>
      </c>
      <c r="AP15" s="497">
        <f t="shared" si="6"/>
        <v>0</v>
      </c>
      <c r="AQ15" s="497">
        <f t="shared" si="7"/>
        <v>0</v>
      </c>
      <c r="AR15" s="497">
        <f t="shared" si="8"/>
        <v>0</v>
      </c>
      <c r="AS15" s="497">
        <f t="shared" si="9"/>
        <v>0</v>
      </c>
      <c r="AT15" s="497">
        <f t="shared" si="10"/>
        <v>0</v>
      </c>
      <c r="AU15" s="536">
        <f t="shared" si="11"/>
        <v>0</v>
      </c>
      <c r="AV15" s="537" t="s">
        <v>162</v>
      </c>
      <c r="AW15" s="497">
        <f t="shared" ref="AW15:BI15" si="31">E21</f>
        <v>6788</v>
      </c>
      <c r="AX15" s="497">
        <f t="shared" si="31"/>
        <v>6868</v>
      </c>
      <c r="AY15" s="497">
        <f t="shared" si="31"/>
        <v>6953</v>
      </c>
      <c r="AZ15" s="497">
        <f t="shared" si="31"/>
        <v>0</v>
      </c>
      <c r="BA15" s="497">
        <f t="shared" si="31"/>
        <v>0</v>
      </c>
      <c r="BB15" s="497">
        <f t="shared" si="31"/>
        <v>0</v>
      </c>
      <c r="BC15" s="497">
        <f t="shared" si="31"/>
        <v>0</v>
      </c>
      <c r="BD15" s="497">
        <f t="shared" si="31"/>
        <v>0</v>
      </c>
      <c r="BE15" s="497">
        <f t="shared" si="31"/>
        <v>0</v>
      </c>
      <c r="BF15" s="497">
        <f t="shared" si="31"/>
        <v>0</v>
      </c>
      <c r="BG15" s="497">
        <f t="shared" si="31"/>
        <v>0</v>
      </c>
      <c r="BH15" s="497">
        <f t="shared" si="31"/>
        <v>0</v>
      </c>
      <c r="BI15" s="524">
        <f t="shared" si="31"/>
        <v>0</v>
      </c>
      <c r="BJ15" s="537" t="s">
        <v>162</v>
      </c>
      <c r="BK15" s="497">
        <f t="shared" ref="BK15:BW15" si="32">E22</f>
        <v>653</v>
      </c>
      <c r="BL15" s="497">
        <f t="shared" si="32"/>
        <v>657</v>
      </c>
      <c r="BM15" s="497">
        <f t="shared" si="32"/>
        <v>681</v>
      </c>
      <c r="BN15" s="497">
        <f t="shared" si="32"/>
        <v>0</v>
      </c>
      <c r="BO15" s="497">
        <f t="shared" si="32"/>
        <v>0</v>
      </c>
      <c r="BP15" s="497">
        <f t="shared" si="32"/>
        <v>0</v>
      </c>
      <c r="BQ15" s="497">
        <f t="shared" si="32"/>
        <v>0</v>
      </c>
      <c r="BR15" s="497">
        <f t="shared" si="32"/>
        <v>0</v>
      </c>
      <c r="BS15" s="497">
        <f t="shared" si="32"/>
        <v>0</v>
      </c>
      <c r="BT15" s="497">
        <f t="shared" si="32"/>
        <v>0</v>
      </c>
      <c r="BU15" s="497">
        <f t="shared" si="32"/>
        <v>0</v>
      </c>
      <c r="BV15" s="497">
        <f t="shared" si="32"/>
        <v>0</v>
      </c>
      <c r="BW15" s="524">
        <f t="shared" si="32"/>
        <v>0</v>
      </c>
      <c r="BX15" s="537" t="s">
        <v>162</v>
      </c>
      <c r="BY15" s="497">
        <f t="shared" si="20"/>
        <v>80</v>
      </c>
      <c r="BZ15" s="497">
        <f t="shared" si="14"/>
        <v>85</v>
      </c>
      <c r="CA15" s="497">
        <f t="shared" si="14"/>
        <v>0</v>
      </c>
      <c r="CB15" s="497">
        <f t="shared" si="14"/>
        <v>0</v>
      </c>
      <c r="CC15" s="497">
        <f t="shared" si="14"/>
        <v>0</v>
      </c>
      <c r="CD15" s="497">
        <f t="shared" si="14"/>
        <v>0</v>
      </c>
      <c r="CE15" s="497">
        <f t="shared" si="14"/>
        <v>0</v>
      </c>
      <c r="CF15" s="497">
        <f t="shared" si="14"/>
        <v>0</v>
      </c>
      <c r="CG15" s="497">
        <f t="shared" si="14"/>
        <v>0</v>
      </c>
      <c r="CH15" s="497">
        <f t="shared" si="14"/>
        <v>0</v>
      </c>
      <c r="CI15" s="497">
        <f t="shared" si="14"/>
        <v>0</v>
      </c>
      <c r="CJ15" s="524">
        <f t="shared" si="14"/>
        <v>0</v>
      </c>
      <c r="CK15" s="537" t="s">
        <v>162</v>
      </c>
      <c r="CL15" s="497">
        <f t="shared" si="21"/>
        <v>4</v>
      </c>
      <c r="CM15" s="497">
        <f t="shared" si="15"/>
        <v>24</v>
      </c>
      <c r="CN15" s="497">
        <f t="shared" si="15"/>
        <v>0</v>
      </c>
      <c r="CO15" s="497">
        <f t="shared" si="15"/>
        <v>0</v>
      </c>
      <c r="CP15" s="497">
        <f t="shared" si="15"/>
        <v>0</v>
      </c>
      <c r="CQ15" s="497">
        <f t="shared" si="15"/>
        <v>0</v>
      </c>
      <c r="CR15" s="497">
        <f t="shared" si="15"/>
        <v>0</v>
      </c>
      <c r="CS15" s="497">
        <f t="shared" si="15"/>
        <v>0</v>
      </c>
      <c r="CT15" s="497">
        <f t="shared" si="15"/>
        <v>0</v>
      </c>
      <c r="CU15" s="497">
        <f t="shared" si="15"/>
        <v>0</v>
      </c>
      <c r="CV15" s="497">
        <f t="shared" si="15"/>
        <v>0</v>
      </c>
      <c r="CW15" s="536">
        <f t="shared" si="15"/>
        <v>0</v>
      </c>
      <c r="CX15" s="535" t="s">
        <v>162</v>
      </c>
      <c r="CY15" s="497">
        <v>3000</v>
      </c>
      <c r="CZ15" s="497">
        <v>3000</v>
      </c>
      <c r="DA15" s="497">
        <v>3000</v>
      </c>
      <c r="DB15" s="497">
        <v>3000</v>
      </c>
      <c r="DC15" s="497">
        <v>3000</v>
      </c>
      <c r="DD15" s="497">
        <v>3000</v>
      </c>
      <c r="DE15" s="497">
        <v>3000</v>
      </c>
      <c r="DF15" s="497">
        <v>3000</v>
      </c>
      <c r="DG15" s="497">
        <v>3000</v>
      </c>
      <c r="DH15" s="497">
        <v>3000</v>
      </c>
      <c r="DI15" s="497">
        <v>3000</v>
      </c>
      <c r="DJ15" s="524">
        <v>3000</v>
      </c>
      <c r="DK15" s="537" t="s">
        <v>162</v>
      </c>
      <c r="DL15" s="536">
        <v>20000</v>
      </c>
      <c r="DM15" s="536">
        <v>20000</v>
      </c>
      <c r="DN15" s="536">
        <v>20000</v>
      </c>
      <c r="DO15" s="536">
        <v>20000</v>
      </c>
      <c r="DP15" s="536">
        <v>20000</v>
      </c>
      <c r="DQ15" s="536">
        <v>20000</v>
      </c>
      <c r="DR15" s="536">
        <v>20000</v>
      </c>
      <c r="DS15" s="536">
        <v>20000</v>
      </c>
      <c r="DT15" s="536">
        <v>20000</v>
      </c>
      <c r="DU15" s="536">
        <v>20000</v>
      </c>
      <c r="DV15" s="536">
        <v>20000</v>
      </c>
      <c r="DW15" s="536">
        <v>20000</v>
      </c>
      <c r="DX15" s="535" t="s">
        <v>162</v>
      </c>
      <c r="DY15" s="497">
        <v>15000</v>
      </c>
      <c r="DZ15" s="497">
        <v>15000</v>
      </c>
      <c r="EA15" s="497">
        <v>15000</v>
      </c>
      <c r="EB15" s="497">
        <v>15000</v>
      </c>
      <c r="EC15" s="497">
        <v>15000</v>
      </c>
      <c r="ED15" s="497">
        <v>15000</v>
      </c>
      <c r="EE15" s="497">
        <v>15000</v>
      </c>
      <c r="EF15" s="497">
        <v>15000</v>
      </c>
      <c r="EG15" s="497">
        <v>15000</v>
      </c>
      <c r="EH15" s="497">
        <v>15000</v>
      </c>
      <c r="EI15" s="497">
        <v>15000</v>
      </c>
      <c r="EJ15" s="524">
        <v>15000</v>
      </c>
      <c r="EK15" s="537" t="s">
        <v>162</v>
      </c>
      <c r="EL15" s="497"/>
      <c r="EM15" s="497"/>
      <c r="EN15" s="497"/>
      <c r="EO15" s="497"/>
      <c r="EP15" s="497"/>
      <c r="EQ15" s="497"/>
      <c r="ER15" s="497"/>
      <c r="ES15" s="497"/>
      <c r="ET15" s="497"/>
      <c r="EU15" s="497"/>
      <c r="EV15" s="497"/>
      <c r="EW15" s="536"/>
      <c r="EX15" s="535" t="s">
        <v>162</v>
      </c>
      <c r="EY15" s="497"/>
      <c r="EZ15" s="497"/>
      <c r="FA15" s="497"/>
      <c r="FB15" s="497"/>
      <c r="FC15" s="497"/>
      <c r="FD15" s="497"/>
      <c r="FE15" s="497"/>
      <c r="FF15" s="497"/>
      <c r="FG15" s="497"/>
      <c r="FH15" s="497"/>
      <c r="FI15" s="497"/>
      <c r="FJ15" s="538"/>
      <c r="FK15" s="537" t="s">
        <v>162</v>
      </c>
      <c r="FL15" s="536">
        <v>1700000</v>
      </c>
      <c r="FM15" s="497">
        <v>1800000</v>
      </c>
      <c r="FN15" s="497">
        <v>1800000</v>
      </c>
      <c r="FO15" s="497"/>
      <c r="FP15" s="497"/>
      <c r="FQ15" s="497"/>
      <c r="FR15" s="497"/>
      <c r="FS15" s="497"/>
      <c r="FT15" s="497"/>
      <c r="FU15" s="497"/>
      <c r="FV15" s="497"/>
      <c r="FW15" s="536"/>
      <c r="FX15" s="535" t="s">
        <v>162</v>
      </c>
      <c r="FY15" s="497">
        <f t="shared" si="22"/>
        <v>240000</v>
      </c>
      <c r="FZ15" s="497">
        <f t="shared" si="16"/>
        <v>255000</v>
      </c>
      <c r="GA15" s="497">
        <f t="shared" si="16"/>
        <v>0</v>
      </c>
      <c r="GB15" s="497">
        <f t="shared" si="16"/>
        <v>0</v>
      </c>
      <c r="GC15" s="497">
        <f t="shared" si="16"/>
        <v>0</v>
      </c>
      <c r="GD15" s="497">
        <f t="shared" si="16"/>
        <v>0</v>
      </c>
      <c r="GE15" s="497">
        <f t="shared" si="16"/>
        <v>0</v>
      </c>
      <c r="GF15" s="497">
        <f t="shared" si="16"/>
        <v>0</v>
      </c>
      <c r="GG15" s="497">
        <f t="shared" si="16"/>
        <v>0</v>
      </c>
      <c r="GH15" s="497">
        <f t="shared" si="16"/>
        <v>0</v>
      </c>
      <c r="GI15" s="497">
        <f t="shared" si="16"/>
        <v>0</v>
      </c>
      <c r="GJ15" s="497">
        <f t="shared" si="16"/>
        <v>0</v>
      </c>
      <c r="GK15" s="537" t="s">
        <v>162</v>
      </c>
      <c r="GL15" s="497">
        <f t="shared" si="17"/>
        <v>80000</v>
      </c>
      <c r="GM15" s="497">
        <f t="shared" si="17"/>
        <v>480000</v>
      </c>
      <c r="GN15" s="497">
        <f t="shared" si="17"/>
        <v>0</v>
      </c>
      <c r="GO15" s="497">
        <f t="shared" si="17"/>
        <v>0</v>
      </c>
      <c r="GP15" s="497">
        <f t="shared" si="17"/>
        <v>0</v>
      </c>
      <c r="GQ15" s="497">
        <f t="shared" si="17"/>
        <v>0</v>
      </c>
      <c r="GR15" s="497">
        <f t="shared" si="17"/>
        <v>0</v>
      </c>
      <c r="GS15" s="497">
        <f t="shared" si="17"/>
        <v>0</v>
      </c>
      <c r="GT15" s="497">
        <f t="shared" si="17"/>
        <v>0</v>
      </c>
      <c r="GU15" s="497">
        <f t="shared" si="17"/>
        <v>0</v>
      </c>
      <c r="GV15" s="497">
        <f t="shared" si="17"/>
        <v>0</v>
      </c>
      <c r="GW15" s="497">
        <f t="shared" si="17"/>
        <v>0</v>
      </c>
      <c r="GX15" s="537" t="s">
        <v>162</v>
      </c>
      <c r="GY15" s="173">
        <f>Y21</f>
        <v>500</v>
      </c>
      <c r="GZ15" s="173">
        <f>U21</f>
        <v>15000</v>
      </c>
      <c r="HA15" s="173">
        <f>V21</f>
        <v>0</v>
      </c>
      <c r="HB15" s="173">
        <f>W21</f>
        <v>0</v>
      </c>
      <c r="HC15" s="534"/>
      <c r="HD15" s="534"/>
    </row>
    <row r="16" spans="1:212" ht="15.75" customHeight="1">
      <c r="A16" s="95">
        <v>8</v>
      </c>
      <c r="B16" s="935"/>
      <c r="C16" s="920"/>
      <c r="D16" s="662" t="s">
        <v>139</v>
      </c>
      <c r="E16" s="302">
        <v>8</v>
      </c>
      <c r="F16" s="302">
        <v>15</v>
      </c>
      <c r="G16" s="302">
        <v>22</v>
      </c>
      <c r="H16" s="302"/>
      <c r="I16" s="302"/>
      <c r="J16" s="302"/>
      <c r="K16" s="302"/>
      <c r="L16" s="302"/>
      <c r="M16" s="302"/>
      <c r="N16" s="302"/>
      <c r="O16" s="302"/>
      <c r="P16" s="302"/>
      <c r="Q16" s="305"/>
      <c r="R16" s="90"/>
      <c r="S16" s="90"/>
      <c r="T16" s="90"/>
      <c r="U16" s="90"/>
      <c r="V16" s="90"/>
      <c r="W16" s="90"/>
      <c r="X16" s="21"/>
      <c r="Y16" s="90"/>
      <c r="Z16" s="90">
        <v>20000</v>
      </c>
      <c r="AA16" s="498" t="s">
        <v>147</v>
      </c>
      <c r="AB16" s="90" t="s">
        <v>132</v>
      </c>
      <c r="AC16" s="534">
        <v>8</v>
      </c>
      <c r="AD16" s="534"/>
      <c r="AE16" s="534">
        <v>4</v>
      </c>
      <c r="AF16" s="534">
        <v>8</v>
      </c>
      <c r="AG16" s="535" t="s">
        <v>173</v>
      </c>
      <c r="AH16" s="535" t="str">
        <f>B23</f>
        <v>Nguyễn Thị Xuyến</v>
      </c>
      <c r="AI16" s="497">
        <v>2195000</v>
      </c>
      <c r="AJ16" s="497">
        <f t="shared" si="0"/>
        <v>2245000</v>
      </c>
      <c r="AK16" s="497">
        <f t="shared" si="1"/>
        <v>2202000</v>
      </c>
      <c r="AL16" s="497">
        <f t="shared" si="2"/>
        <v>0</v>
      </c>
      <c r="AM16" s="497">
        <f t="shared" si="3"/>
        <v>0</v>
      </c>
      <c r="AN16" s="497">
        <f t="shared" si="4"/>
        <v>0</v>
      </c>
      <c r="AO16" s="497">
        <f t="shared" si="5"/>
        <v>0</v>
      </c>
      <c r="AP16" s="497">
        <f t="shared" si="6"/>
        <v>0</v>
      </c>
      <c r="AQ16" s="497">
        <f t="shared" si="7"/>
        <v>0</v>
      </c>
      <c r="AR16" s="497">
        <f t="shared" si="8"/>
        <v>0</v>
      </c>
      <c r="AS16" s="497">
        <f t="shared" si="9"/>
        <v>0</v>
      </c>
      <c r="AT16" s="497">
        <f t="shared" si="10"/>
        <v>0</v>
      </c>
      <c r="AU16" s="536">
        <f t="shared" si="11"/>
        <v>0</v>
      </c>
      <c r="AV16" s="537" t="s">
        <v>173</v>
      </c>
      <c r="AW16" s="497">
        <f t="shared" ref="AW16:BI16" si="33">E23</f>
        <v>8295</v>
      </c>
      <c r="AX16" s="497">
        <f t="shared" si="33"/>
        <v>8405</v>
      </c>
      <c r="AY16" s="497">
        <f t="shared" si="33"/>
        <v>8474</v>
      </c>
      <c r="AZ16" s="497">
        <f t="shared" si="33"/>
        <v>0</v>
      </c>
      <c r="BA16" s="497">
        <f t="shared" si="33"/>
        <v>0</v>
      </c>
      <c r="BB16" s="497">
        <f t="shared" si="33"/>
        <v>0</v>
      </c>
      <c r="BC16" s="497">
        <f t="shared" si="33"/>
        <v>0</v>
      </c>
      <c r="BD16" s="497">
        <f t="shared" si="33"/>
        <v>0</v>
      </c>
      <c r="BE16" s="497">
        <f t="shared" si="33"/>
        <v>0</v>
      </c>
      <c r="BF16" s="497">
        <f t="shared" si="33"/>
        <v>0</v>
      </c>
      <c r="BG16" s="497">
        <f t="shared" si="33"/>
        <v>0</v>
      </c>
      <c r="BH16" s="497">
        <f t="shared" si="33"/>
        <v>0</v>
      </c>
      <c r="BI16" s="524">
        <f t="shared" si="33"/>
        <v>0</v>
      </c>
      <c r="BJ16" s="537" t="s">
        <v>173</v>
      </c>
      <c r="BK16" s="497">
        <f t="shared" ref="BK16:BW16" si="34">E24</f>
        <v>1014</v>
      </c>
      <c r="BL16" s="497">
        <f t="shared" si="34"/>
        <v>1023</v>
      </c>
      <c r="BM16" s="497">
        <f t="shared" si="34"/>
        <v>1031</v>
      </c>
      <c r="BN16" s="497">
        <f t="shared" si="34"/>
        <v>0</v>
      </c>
      <c r="BO16" s="497">
        <f t="shared" si="34"/>
        <v>0</v>
      </c>
      <c r="BP16" s="497">
        <f t="shared" si="34"/>
        <v>0</v>
      </c>
      <c r="BQ16" s="497">
        <f t="shared" si="34"/>
        <v>0</v>
      </c>
      <c r="BR16" s="497">
        <f t="shared" si="34"/>
        <v>0</v>
      </c>
      <c r="BS16" s="497">
        <f t="shared" si="34"/>
        <v>0</v>
      </c>
      <c r="BT16" s="497">
        <f t="shared" si="34"/>
        <v>0</v>
      </c>
      <c r="BU16" s="497">
        <f t="shared" si="34"/>
        <v>0</v>
      </c>
      <c r="BV16" s="497">
        <f t="shared" si="34"/>
        <v>0</v>
      </c>
      <c r="BW16" s="524">
        <f t="shared" si="34"/>
        <v>0</v>
      </c>
      <c r="BX16" s="537" t="s">
        <v>173</v>
      </c>
      <c r="BY16" s="497">
        <f t="shared" si="20"/>
        <v>110</v>
      </c>
      <c r="BZ16" s="497">
        <f t="shared" si="14"/>
        <v>69</v>
      </c>
      <c r="CA16" s="497">
        <f t="shared" si="14"/>
        <v>0</v>
      </c>
      <c r="CB16" s="497">
        <f t="shared" si="14"/>
        <v>0</v>
      </c>
      <c r="CC16" s="497">
        <f t="shared" si="14"/>
        <v>0</v>
      </c>
      <c r="CD16" s="497">
        <f t="shared" si="14"/>
        <v>0</v>
      </c>
      <c r="CE16" s="497">
        <f t="shared" si="14"/>
        <v>0</v>
      </c>
      <c r="CF16" s="497">
        <f t="shared" si="14"/>
        <v>0</v>
      </c>
      <c r="CG16" s="497">
        <f t="shared" si="14"/>
        <v>0</v>
      </c>
      <c r="CH16" s="497">
        <f t="shared" si="14"/>
        <v>0</v>
      </c>
      <c r="CI16" s="497">
        <f t="shared" si="14"/>
        <v>0</v>
      </c>
      <c r="CJ16" s="524">
        <f t="shared" si="14"/>
        <v>0</v>
      </c>
      <c r="CK16" s="537" t="s">
        <v>173</v>
      </c>
      <c r="CL16" s="497">
        <f t="shared" si="21"/>
        <v>9</v>
      </c>
      <c r="CM16" s="497">
        <f t="shared" si="15"/>
        <v>8</v>
      </c>
      <c r="CN16" s="497">
        <f t="shared" si="15"/>
        <v>0</v>
      </c>
      <c r="CO16" s="497">
        <f t="shared" si="15"/>
        <v>0</v>
      </c>
      <c r="CP16" s="497">
        <f t="shared" si="15"/>
        <v>0</v>
      </c>
      <c r="CQ16" s="497">
        <f t="shared" si="15"/>
        <v>0</v>
      </c>
      <c r="CR16" s="497">
        <f t="shared" si="15"/>
        <v>0</v>
      </c>
      <c r="CS16" s="497">
        <f t="shared" si="15"/>
        <v>0</v>
      </c>
      <c r="CT16" s="497">
        <f t="shared" si="15"/>
        <v>0</v>
      </c>
      <c r="CU16" s="497">
        <f t="shared" si="15"/>
        <v>0</v>
      </c>
      <c r="CV16" s="497">
        <f t="shared" si="15"/>
        <v>0</v>
      </c>
      <c r="CW16" s="536">
        <f t="shared" si="15"/>
        <v>0</v>
      </c>
      <c r="CX16" s="535" t="s">
        <v>173</v>
      </c>
      <c r="CY16" s="497">
        <v>3000</v>
      </c>
      <c r="CZ16" s="497">
        <v>3000</v>
      </c>
      <c r="DA16" s="497">
        <v>3000</v>
      </c>
      <c r="DB16" s="497">
        <v>3000</v>
      </c>
      <c r="DC16" s="497">
        <v>3000</v>
      </c>
      <c r="DD16" s="497">
        <v>3000</v>
      </c>
      <c r="DE16" s="497">
        <v>3000</v>
      </c>
      <c r="DF16" s="497">
        <v>3000</v>
      </c>
      <c r="DG16" s="497">
        <v>3000</v>
      </c>
      <c r="DH16" s="497">
        <v>3000</v>
      </c>
      <c r="DI16" s="497">
        <v>3000</v>
      </c>
      <c r="DJ16" s="524">
        <v>3000</v>
      </c>
      <c r="DK16" s="537" t="s">
        <v>173</v>
      </c>
      <c r="DL16" s="536">
        <v>20000</v>
      </c>
      <c r="DM16" s="536">
        <v>20000</v>
      </c>
      <c r="DN16" s="536">
        <v>20000</v>
      </c>
      <c r="DO16" s="536">
        <v>20000</v>
      </c>
      <c r="DP16" s="536">
        <v>20000</v>
      </c>
      <c r="DQ16" s="536">
        <v>20000</v>
      </c>
      <c r="DR16" s="536">
        <v>20000</v>
      </c>
      <c r="DS16" s="536">
        <v>20000</v>
      </c>
      <c r="DT16" s="536">
        <v>20000</v>
      </c>
      <c r="DU16" s="536">
        <v>20000</v>
      </c>
      <c r="DV16" s="536">
        <v>20000</v>
      </c>
      <c r="DW16" s="536">
        <v>20000</v>
      </c>
      <c r="DX16" s="535" t="s">
        <v>173</v>
      </c>
      <c r="DY16" s="497">
        <v>15000</v>
      </c>
      <c r="DZ16" s="497">
        <v>15000</v>
      </c>
      <c r="EA16" s="497">
        <v>15000</v>
      </c>
      <c r="EB16" s="497">
        <v>15000</v>
      </c>
      <c r="EC16" s="497">
        <v>15000</v>
      </c>
      <c r="ED16" s="497">
        <v>15000</v>
      </c>
      <c r="EE16" s="497">
        <v>15000</v>
      </c>
      <c r="EF16" s="497">
        <v>15000</v>
      </c>
      <c r="EG16" s="497">
        <v>15000</v>
      </c>
      <c r="EH16" s="497">
        <v>15000</v>
      </c>
      <c r="EI16" s="497">
        <v>15000</v>
      </c>
      <c r="EJ16" s="524">
        <v>15000</v>
      </c>
      <c r="EK16" s="537" t="s">
        <v>173</v>
      </c>
      <c r="EL16" s="497">
        <v>20000</v>
      </c>
      <c r="EM16" s="497">
        <v>20000</v>
      </c>
      <c r="EN16" s="497">
        <v>20000</v>
      </c>
      <c r="EO16" s="497">
        <v>20000</v>
      </c>
      <c r="EP16" s="497">
        <v>20000</v>
      </c>
      <c r="EQ16" s="497">
        <v>20000</v>
      </c>
      <c r="ER16" s="497">
        <v>20000</v>
      </c>
      <c r="ES16" s="497">
        <v>20000</v>
      </c>
      <c r="ET16" s="497">
        <v>20000</v>
      </c>
      <c r="EU16" s="497">
        <v>20000</v>
      </c>
      <c r="EV16" s="497">
        <v>20000</v>
      </c>
      <c r="EW16" s="536">
        <v>20000</v>
      </c>
      <c r="EX16" s="535" t="s">
        <v>173</v>
      </c>
      <c r="EY16" s="497"/>
      <c r="EZ16" s="497"/>
      <c r="FA16" s="497"/>
      <c r="FB16" s="497"/>
      <c r="FC16" s="497"/>
      <c r="FD16" s="497"/>
      <c r="FE16" s="497"/>
      <c r="FF16" s="497"/>
      <c r="FG16" s="497"/>
      <c r="FH16" s="497"/>
      <c r="FI16" s="497"/>
      <c r="FJ16" s="538"/>
      <c r="FK16" s="537" t="s">
        <v>173</v>
      </c>
      <c r="FL16" s="536">
        <v>1700000</v>
      </c>
      <c r="FM16" s="497">
        <v>1800000</v>
      </c>
      <c r="FN16" s="497">
        <v>1800000</v>
      </c>
      <c r="FO16" s="497"/>
      <c r="FP16" s="497"/>
      <c r="FQ16" s="497"/>
      <c r="FR16" s="497"/>
      <c r="FS16" s="497"/>
      <c r="FT16" s="497"/>
      <c r="FU16" s="497"/>
      <c r="FV16" s="497"/>
      <c r="FW16" s="536"/>
      <c r="FX16" s="535" t="s">
        <v>173</v>
      </c>
      <c r="FY16" s="497">
        <f t="shared" si="22"/>
        <v>330000</v>
      </c>
      <c r="FZ16" s="497">
        <f t="shared" si="16"/>
        <v>207000</v>
      </c>
      <c r="GA16" s="497">
        <f t="shared" si="16"/>
        <v>0</v>
      </c>
      <c r="GB16" s="497">
        <f t="shared" si="16"/>
        <v>0</v>
      </c>
      <c r="GC16" s="497">
        <f t="shared" si="16"/>
        <v>0</v>
      </c>
      <c r="GD16" s="497">
        <f t="shared" si="16"/>
        <v>0</v>
      </c>
      <c r="GE16" s="497">
        <f t="shared" si="16"/>
        <v>0</v>
      </c>
      <c r="GF16" s="497">
        <f t="shared" si="16"/>
        <v>0</v>
      </c>
      <c r="GG16" s="497">
        <f t="shared" si="16"/>
        <v>0</v>
      </c>
      <c r="GH16" s="497">
        <f t="shared" si="16"/>
        <v>0</v>
      </c>
      <c r="GI16" s="497">
        <f t="shared" si="16"/>
        <v>0</v>
      </c>
      <c r="GJ16" s="497">
        <f t="shared" si="16"/>
        <v>0</v>
      </c>
      <c r="GK16" s="537" t="s">
        <v>173</v>
      </c>
      <c r="GL16" s="497">
        <f t="shared" si="17"/>
        <v>180000</v>
      </c>
      <c r="GM16" s="497">
        <f t="shared" si="17"/>
        <v>160000</v>
      </c>
      <c r="GN16" s="497">
        <f t="shared" si="17"/>
        <v>0</v>
      </c>
      <c r="GO16" s="497">
        <f t="shared" si="17"/>
        <v>0</v>
      </c>
      <c r="GP16" s="497">
        <f t="shared" si="17"/>
        <v>0</v>
      </c>
      <c r="GQ16" s="497">
        <f t="shared" si="17"/>
        <v>0</v>
      </c>
      <c r="GR16" s="497">
        <f t="shared" si="17"/>
        <v>0</v>
      </c>
      <c r="GS16" s="497">
        <f t="shared" si="17"/>
        <v>0</v>
      </c>
      <c r="GT16" s="497">
        <f t="shared" si="17"/>
        <v>0</v>
      </c>
      <c r="GU16" s="497">
        <f t="shared" si="17"/>
        <v>0</v>
      </c>
      <c r="GV16" s="497">
        <f t="shared" si="17"/>
        <v>0</v>
      </c>
      <c r="GW16" s="497">
        <f t="shared" si="17"/>
        <v>0</v>
      </c>
      <c r="GX16" s="537" t="s">
        <v>173</v>
      </c>
      <c r="GY16" s="173">
        <f>Y23</f>
        <v>500</v>
      </c>
      <c r="GZ16" s="173">
        <f>U23</f>
        <v>15000</v>
      </c>
      <c r="HA16" s="173">
        <f>V23</f>
        <v>20000</v>
      </c>
      <c r="HB16" s="173">
        <f>W23</f>
        <v>0</v>
      </c>
      <c r="HC16" s="534"/>
      <c r="HD16" s="534"/>
    </row>
    <row r="17" spans="1:212" ht="15.75" customHeight="1">
      <c r="A17" s="78">
        <v>9</v>
      </c>
      <c r="B17" s="934" t="s">
        <v>148</v>
      </c>
      <c r="C17" s="919" t="s">
        <v>149</v>
      </c>
      <c r="D17" s="660" t="s">
        <v>128</v>
      </c>
      <c r="E17" s="661">
        <v>11216</v>
      </c>
      <c r="F17" s="661">
        <v>11411</v>
      </c>
      <c r="G17" s="661">
        <v>11612</v>
      </c>
      <c r="H17" s="661"/>
      <c r="I17" s="661"/>
      <c r="J17" s="661"/>
      <c r="K17" s="661"/>
      <c r="L17" s="661"/>
      <c r="M17" s="661"/>
      <c r="N17" s="661"/>
      <c r="O17" s="661"/>
      <c r="P17" s="661"/>
      <c r="Q17" s="666"/>
      <c r="R17" s="89"/>
      <c r="S17" s="90"/>
      <c r="T17" s="90">
        <v>1800</v>
      </c>
      <c r="U17" s="90">
        <v>15000</v>
      </c>
      <c r="V17" s="90">
        <v>20000</v>
      </c>
      <c r="W17" s="90">
        <v>0</v>
      </c>
      <c r="X17" s="21" t="s">
        <v>131</v>
      </c>
      <c r="Y17" s="90">
        <v>500</v>
      </c>
      <c r="Z17" s="90">
        <v>3000</v>
      </c>
      <c r="AA17" s="498" t="s">
        <v>149</v>
      </c>
      <c r="AB17" s="90" t="s">
        <v>132</v>
      </c>
      <c r="AC17" s="534">
        <v>9</v>
      </c>
      <c r="AD17" s="534">
        <v>5</v>
      </c>
      <c r="AE17" s="534"/>
      <c r="AF17" s="534">
        <v>9</v>
      </c>
      <c r="AG17" s="535" t="s">
        <v>179</v>
      </c>
      <c r="AH17" s="535" t="str">
        <f>B25</f>
        <v>Liễu Hoàng Phong</v>
      </c>
      <c r="AI17" s="497">
        <v>2577000</v>
      </c>
      <c r="AJ17" s="497">
        <f t="shared" si="0"/>
        <v>2711000</v>
      </c>
      <c r="AK17" s="497">
        <f t="shared" si="1"/>
        <v>2767000</v>
      </c>
      <c r="AL17" s="497">
        <f t="shared" si="2"/>
        <v>0</v>
      </c>
      <c r="AM17" s="497">
        <f t="shared" si="3"/>
        <v>0</v>
      </c>
      <c r="AN17" s="497">
        <f t="shared" si="4"/>
        <v>0</v>
      </c>
      <c r="AO17" s="497">
        <f t="shared" si="5"/>
        <v>0</v>
      </c>
      <c r="AP17" s="497">
        <f t="shared" si="6"/>
        <v>0</v>
      </c>
      <c r="AQ17" s="497">
        <f t="shared" si="7"/>
        <v>0</v>
      </c>
      <c r="AR17" s="497">
        <f t="shared" si="8"/>
        <v>0</v>
      </c>
      <c r="AS17" s="497">
        <f t="shared" si="9"/>
        <v>0</v>
      </c>
      <c r="AT17" s="497">
        <f t="shared" si="10"/>
        <v>0</v>
      </c>
      <c r="AU17" s="536">
        <f t="shared" si="11"/>
        <v>0</v>
      </c>
      <c r="AV17" s="537" t="s">
        <v>179</v>
      </c>
      <c r="AW17" s="497">
        <f t="shared" ref="AW17:BI17" si="35">E25</f>
        <v>14236</v>
      </c>
      <c r="AX17" s="497">
        <f t="shared" si="35"/>
        <v>14448</v>
      </c>
      <c r="AY17" s="497">
        <f t="shared" si="35"/>
        <v>14652</v>
      </c>
      <c r="AZ17" s="497">
        <f t="shared" si="35"/>
        <v>0</v>
      </c>
      <c r="BA17" s="497">
        <f t="shared" si="35"/>
        <v>0</v>
      </c>
      <c r="BB17" s="497">
        <f t="shared" si="35"/>
        <v>0</v>
      </c>
      <c r="BC17" s="497">
        <f t="shared" si="35"/>
        <v>0</v>
      </c>
      <c r="BD17" s="497">
        <f t="shared" si="35"/>
        <v>0</v>
      </c>
      <c r="BE17" s="497">
        <f t="shared" si="35"/>
        <v>0</v>
      </c>
      <c r="BF17" s="497">
        <f t="shared" si="35"/>
        <v>0</v>
      </c>
      <c r="BG17" s="497">
        <f t="shared" si="35"/>
        <v>0</v>
      </c>
      <c r="BH17" s="497">
        <f t="shared" si="35"/>
        <v>0</v>
      </c>
      <c r="BI17" s="524">
        <f t="shared" si="35"/>
        <v>0</v>
      </c>
      <c r="BJ17" s="537" t="s">
        <v>179</v>
      </c>
      <c r="BK17" s="497">
        <f t="shared" ref="BK17:BW17" si="36">E26</f>
        <v>1371</v>
      </c>
      <c r="BL17" s="497">
        <f t="shared" si="36"/>
        <v>1388</v>
      </c>
      <c r="BM17" s="497">
        <f t="shared" si="36"/>
        <v>1404</v>
      </c>
      <c r="BN17" s="497">
        <f t="shared" si="36"/>
        <v>0</v>
      </c>
      <c r="BO17" s="497">
        <f t="shared" si="36"/>
        <v>0</v>
      </c>
      <c r="BP17" s="497">
        <f t="shared" si="36"/>
        <v>0</v>
      </c>
      <c r="BQ17" s="497">
        <f t="shared" si="36"/>
        <v>0</v>
      </c>
      <c r="BR17" s="497">
        <f t="shared" si="36"/>
        <v>0</v>
      </c>
      <c r="BS17" s="497">
        <f t="shared" si="36"/>
        <v>0</v>
      </c>
      <c r="BT17" s="497">
        <f t="shared" si="36"/>
        <v>0</v>
      </c>
      <c r="BU17" s="497">
        <f t="shared" si="36"/>
        <v>0</v>
      </c>
      <c r="BV17" s="497">
        <f t="shared" si="36"/>
        <v>0</v>
      </c>
      <c r="BW17" s="524">
        <f t="shared" si="36"/>
        <v>0</v>
      </c>
      <c r="BX17" s="537" t="s">
        <v>179</v>
      </c>
      <c r="BY17" s="497">
        <f t="shared" si="20"/>
        <v>212</v>
      </c>
      <c r="BZ17" s="497">
        <f t="shared" si="14"/>
        <v>204</v>
      </c>
      <c r="CA17" s="497">
        <f t="shared" si="14"/>
        <v>0</v>
      </c>
      <c r="CB17" s="497">
        <f t="shared" si="14"/>
        <v>0</v>
      </c>
      <c r="CC17" s="497">
        <f t="shared" si="14"/>
        <v>0</v>
      </c>
      <c r="CD17" s="497">
        <f t="shared" si="14"/>
        <v>0</v>
      </c>
      <c r="CE17" s="497">
        <f t="shared" si="14"/>
        <v>0</v>
      </c>
      <c r="CF17" s="497">
        <f t="shared" si="14"/>
        <v>0</v>
      </c>
      <c r="CG17" s="497">
        <f t="shared" si="14"/>
        <v>0</v>
      </c>
      <c r="CH17" s="497">
        <f t="shared" si="14"/>
        <v>0</v>
      </c>
      <c r="CI17" s="497">
        <f t="shared" si="14"/>
        <v>0</v>
      </c>
      <c r="CJ17" s="524">
        <f t="shared" si="14"/>
        <v>0</v>
      </c>
      <c r="CK17" s="537" t="s">
        <v>179</v>
      </c>
      <c r="CL17" s="497">
        <f t="shared" si="21"/>
        <v>17</v>
      </c>
      <c r="CM17" s="497">
        <f t="shared" si="15"/>
        <v>16</v>
      </c>
      <c r="CN17" s="497">
        <f t="shared" si="15"/>
        <v>0</v>
      </c>
      <c r="CO17" s="497">
        <f t="shared" si="15"/>
        <v>0</v>
      </c>
      <c r="CP17" s="497">
        <f t="shared" si="15"/>
        <v>0</v>
      </c>
      <c r="CQ17" s="497">
        <f t="shared" si="15"/>
        <v>0</v>
      </c>
      <c r="CR17" s="497">
        <f t="shared" si="15"/>
        <v>0</v>
      </c>
      <c r="CS17" s="497">
        <f t="shared" si="15"/>
        <v>0</v>
      </c>
      <c r="CT17" s="497">
        <f t="shared" si="15"/>
        <v>0</v>
      </c>
      <c r="CU17" s="497">
        <f t="shared" si="15"/>
        <v>0</v>
      </c>
      <c r="CV17" s="497">
        <f t="shared" si="15"/>
        <v>0</v>
      </c>
      <c r="CW17" s="536">
        <f t="shared" si="15"/>
        <v>0</v>
      </c>
      <c r="CX17" s="535" t="s">
        <v>179</v>
      </c>
      <c r="CY17" s="497">
        <v>3000</v>
      </c>
      <c r="CZ17" s="497">
        <v>3000</v>
      </c>
      <c r="DA17" s="497">
        <v>3000</v>
      </c>
      <c r="DB17" s="497">
        <v>3000</v>
      </c>
      <c r="DC17" s="497">
        <v>3000</v>
      </c>
      <c r="DD17" s="497">
        <v>3000</v>
      </c>
      <c r="DE17" s="497">
        <v>3000</v>
      </c>
      <c r="DF17" s="497">
        <v>3000</v>
      </c>
      <c r="DG17" s="497">
        <v>3000</v>
      </c>
      <c r="DH17" s="497">
        <v>3000</v>
      </c>
      <c r="DI17" s="497">
        <v>3000</v>
      </c>
      <c r="DJ17" s="524">
        <v>3000</v>
      </c>
      <c r="DK17" s="537" t="s">
        <v>179</v>
      </c>
      <c r="DL17" s="536">
        <v>20000</v>
      </c>
      <c r="DM17" s="536">
        <v>20000</v>
      </c>
      <c r="DN17" s="536">
        <v>20000</v>
      </c>
      <c r="DO17" s="536">
        <v>20000</v>
      </c>
      <c r="DP17" s="536">
        <v>20000</v>
      </c>
      <c r="DQ17" s="536">
        <v>20000</v>
      </c>
      <c r="DR17" s="536">
        <v>20000</v>
      </c>
      <c r="DS17" s="536">
        <v>20000</v>
      </c>
      <c r="DT17" s="536">
        <v>20000</v>
      </c>
      <c r="DU17" s="536">
        <v>20000</v>
      </c>
      <c r="DV17" s="536">
        <v>20000</v>
      </c>
      <c r="DW17" s="536">
        <v>20000</v>
      </c>
      <c r="DX17" s="535" t="s">
        <v>179</v>
      </c>
      <c r="DY17" s="497">
        <v>15000</v>
      </c>
      <c r="DZ17" s="497">
        <v>15000</v>
      </c>
      <c r="EA17" s="497">
        <v>15000</v>
      </c>
      <c r="EB17" s="497">
        <v>15000</v>
      </c>
      <c r="EC17" s="497">
        <v>15000</v>
      </c>
      <c r="ED17" s="497">
        <v>15000</v>
      </c>
      <c r="EE17" s="497">
        <v>15000</v>
      </c>
      <c r="EF17" s="497">
        <v>15000</v>
      </c>
      <c r="EG17" s="497">
        <v>15000</v>
      </c>
      <c r="EH17" s="497">
        <v>15000</v>
      </c>
      <c r="EI17" s="497">
        <v>15000</v>
      </c>
      <c r="EJ17" s="524">
        <v>15000</v>
      </c>
      <c r="EK17" s="537" t="s">
        <v>179</v>
      </c>
      <c r="EL17" s="497">
        <v>20000</v>
      </c>
      <c r="EM17" s="497">
        <v>20000</v>
      </c>
      <c r="EN17" s="497">
        <v>20000</v>
      </c>
      <c r="EO17" s="497">
        <v>20000</v>
      </c>
      <c r="EP17" s="497">
        <v>20000</v>
      </c>
      <c r="EQ17" s="497">
        <v>20000</v>
      </c>
      <c r="ER17" s="497">
        <v>20000</v>
      </c>
      <c r="ES17" s="497">
        <v>20000</v>
      </c>
      <c r="ET17" s="497">
        <v>20000</v>
      </c>
      <c r="EU17" s="497">
        <v>20000</v>
      </c>
      <c r="EV17" s="497">
        <v>20000</v>
      </c>
      <c r="EW17" s="536">
        <v>20000</v>
      </c>
      <c r="EX17" s="535" t="s">
        <v>179</v>
      </c>
      <c r="EY17" s="497"/>
      <c r="EZ17" s="497"/>
      <c r="FA17" s="497"/>
      <c r="FB17" s="497"/>
      <c r="FC17" s="497"/>
      <c r="FD17" s="497"/>
      <c r="FE17" s="497"/>
      <c r="FF17" s="497"/>
      <c r="FG17" s="497"/>
      <c r="FH17" s="497"/>
      <c r="FI17" s="497"/>
      <c r="FJ17" s="538"/>
      <c r="FK17" s="537" t="s">
        <v>179</v>
      </c>
      <c r="FL17" s="536">
        <v>1700000</v>
      </c>
      <c r="FM17" s="497">
        <v>1800000</v>
      </c>
      <c r="FN17" s="497">
        <v>1800000</v>
      </c>
      <c r="FO17" s="497"/>
      <c r="FP17" s="497"/>
      <c r="FQ17" s="497"/>
      <c r="FR17" s="497"/>
      <c r="FS17" s="497"/>
      <c r="FT17" s="497"/>
      <c r="FU17" s="497"/>
      <c r="FV17" s="497"/>
      <c r="FW17" s="536"/>
      <c r="FX17" s="535" t="s">
        <v>179</v>
      </c>
      <c r="FY17" s="497">
        <f t="shared" si="22"/>
        <v>636000</v>
      </c>
      <c r="FZ17" s="497">
        <f t="shared" si="16"/>
        <v>612000</v>
      </c>
      <c r="GA17" s="497">
        <f t="shared" si="16"/>
        <v>0</v>
      </c>
      <c r="GB17" s="497">
        <f t="shared" si="16"/>
        <v>0</v>
      </c>
      <c r="GC17" s="497">
        <f t="shared" si="16"/>
        <v>0</v>
      </c>
      <c r="GD17" s="497">
        <f t="shared" si="16"/>
        <v>0</v>
      </c>
      <c r="GE17" s="497">
        <f t="shared" si="16"/>
        <v>0</v>
      </c>
      <c r="GF17" s="497">
        <f t="shared" si="16"/>
        <v>0</v>
      </c>
      <c r="GG17" s="497">
        <f t="shared" si="16"/>
        <v>0</v>
      </c>
      <c r="GH17" s="497">
        <f t="shared" si="16"/>
        <v>0</v>
      </c>
      <c r="GI17" s="497">
        <f t="shared" si="16"/>
        <v>0</v>
      </c>
      <c r="GJ17" s="497">
        <f t="shared" si="16"/>
        <v>0</v>
      </c>
      <c r="GK17" s="537" t="s">
        <v>179</v>
      </c>
      <c r="GL17" s="497">
        <f t="shared" si="17"/>
        <v>340000</v>
      </c>
      <c r="GM17" s="497">
        <f t="shared" si="17"/>
        <v>320000</v>
      </c>
      <c r="GN17" s="497">
        <f t="shared" si="17"/>
        <v>0</v>
      </c>
      <c r="GO17" s="497">
        <f t="shared" si="17"/>
        <v>0</v>
      </c>
      <c r="GP17" s="497">
        <f t="shared" si="17"/>
        <v>0</v>
      </c>
      <c r="GQ17" s="497">
        <f t="shared" si="17"/>
        <v>0</v>
      </c>
      <c r="GR17" s="497">
        <f t="shared" si="17"/>
        <v>0</v>
      </c>
      <c r="GS17" s="497">
        <f t="shared" si="17"/>
        <v>0</v>
      </c>
      <c r="GT17" s="497">
        <f t="shared" si="17"/>
        <v>0</v>
      </c>
      <c r="GU17" s="497">
        <f t="shared" si="17"/>
        <v>0</v>
      </c>
      <c r="GV17" s="497">
        <f t="shared" si="17"/>
        <v>0</v>
      </c>
      <c r="GW17" s="497">
        <f t="shared" si="17"/>
        <v>0</v>
      </c>
      <c r="GX17" s="537" t="s">
        <v>179</v>
      </c>
      <c r="GY17" s="173">
        <f>Y25</f>
        <v>500</v>
      </c>
      <c r="GZ17" s="173">
        <f>U25</f>
        <v>15000</v>
      </c>
      <c r="HA17" s="173">
        <f>V25</f>
        <v>20000</v>
      </c>
      <c r="HB17" s="173">
        <f>W25</f>
        <v>0</v>
      </c>
      <c r="HC17" s="530"/>
      <c r="HD17" s="534"/>
    </row>
    <row r="18" spans="1:212" ht="15.75" customHeight="1">
      <c r="A18" s="95">
        <v>10</v>
      </c>
      <c r="B18" s="935"/>
      <c r="C18" s="920"/>
      <c r="D18" s="660" t="s">
        <v>139</v>
      </c>
      <c r="E18" s="661">
        <v>960</v>
      </c>
      <c r="F18" s="661">
        <v>981</v>
      </c>
      <c r="G18" s="661">
        <v>1000</v>
      </c>
      <c r="H18" s="661"/>
      <c r="I18" s="661"/>
      <c r="J18" s="661"/>
      <c r="K18" s="661"/>
      <c r="L18" s="661"/>
      <c r="M18" s="661"/>
      <c r="N18" s="661"/>
      <c r="O18" s="661"/>
      <c r="P18" s="661"/>
      <c r="Q18" s="666"/>
      <c r="R18" s="89"/>
      <c r="S18" s="90"/>
      <c r="T18" s="90"/>
      <c r="U18" s="90"/>
      <c r="V18" s="90"/>
      <c r="W18" s="90"/>
      <c r="X18" s="21"/>
      <c r="Y18" s="90"/>
      <c r="Z18" s="90">
        <v>20000</v>
      </c>
      <c r="AA18" s="498" t="s">
        <v>149</v>
      </c>
      <c r="AB18" s="90" t="s">
        <v>132</v>
      </c>
      <c r="AC18" s="534">
        <v>10</v>
      </c>
      <c r="AD18" s="534"/>
      <c r="AE18" s="534">
        <v>5</v>
      </c>
      <c r="AF18" s="534">
        <v>10</v>
      </c>
      <c r="AG18" s="535" t="s">
        <v>188</v>
      </c>
      <c r="AH18" s="535" t="str">
        <f>B27</f>
        <v>Mai Ánh Điệp</v>
      </c>
      <c r="AI18" s="497">
        <v>2344000</v>
      </c>
      <c r="AJ18" s="497">
        <f t="shared" si="0"/>
        <v>2601000</v>
      </c>
      <c r="AK18" s="497">
        <f t="shared" si="1"/>
        <v>2507000</v>
      </c>
      <c r="AL18" s="497">
        <f t="shared" si="2"/>
        <v>0</v>
      </c>
      <c r="AM18" s="497">
        <f t="shared" si="3"/>
        <v>0</v>
      </c>
      <c r="AN18" s="497">
        <f t="shared" si="4"/>
        <v>0</v>
      </c>
      <c r="AO18" s="497">
        <f t="shared" si="5"/>
        <v>0</v>
      </c>
      <c r="AP18" s="497">
        <f t="shared" si="6"/>
        <v>0</v>
      </c>
      <c r="AQ18" s="497">
        <f t="shared" si="7"/>
        <v>0</v>
      </c>
      <c r="AR18" s="497">
        <f t="shared" si="8"/>
        <v>0</v>
      </c>
      <c r="AS18" s="497">
        <f t="shared" si="9"/>
        <v>0</v>
      </c>
      <c r="AT18" s="497">
        <f t="shared" si="10"/>
        <v>0</v>
      </c>
      <c r="AU18" s="536">
        <f t="shared" si="11"/>
        <v>0</v>
      </c>
      <c r="AV18" s="537" t="s">
        <v>188</v>
      </c>
      <c r="AW18" s="497">
        <f t="shared" ref="AW18:BI18" si="37">E27</f>
        <v>13621</v>
      </c>
      <c r="AX18" s="497">
        <f t="shared" si="37"/>
        <v>13783</v>
      </c>
      <c r="AY18" s="497">
        <f t="shared" si="37"/>
        <v>13887</v>
      </c>
      <c r="AZ18" s="497">
        <f t="shared" si="37"/>
        <v>0</v>
      </c>
      <c r="BA18" s="497">
        <f t="shared" si="37"/>
        <v>0</v>
      </c>
      <c r="BB18" s="497">
        <f t="shared" si="37"/>
        <v>0</v>
      </c>
      <c r="BC18" s="497">
        <f t="shared" si="37"/>
        <v>0</v>
      </c>
      <c r="BD18" s="497">
        <f t="shared" si="37"/>
        <v>0</v>
      </c>
      <c r="BE18" s="497">
        <f t="shared" si="37"/>
        <v>0</v>
      </c>
      <c r="BF18" s="497">
        <f t="shared" si="37"/>
        <v>0</v>
      </c>
      <c r="BG18" s="497">
        <f t="shared" si="37"/>
        <v>0</v>
      </c>
      <c r="BH18" s="497">
        <f t="shared" si="37"/>
        <v>0</v>
      </c>
      <c r="BI18" s="524">
        <f t="shared" si="37"/>
        <v>0</v>
      </c>
      <c r="BJ18" s="537" t="s">
        <v>188</v>
      </c>
      <c r="BK18" s="497">
        <f t="shared" ref="BK18:BW18" si="38">E28</f>
        <v>1247</v>
      </c>
      <c r="BL18" s="497">
        <f t="shared" si="38"/>
        <v>1267</v>
      </c>
      <c r="BM18" s="497">
        <f t="shared" si="38"/>
        <v>1286</v>
      </c>
      <c r="BN18" s="497">
        <f t="shared" si="38"/>
        <v>0</v>
      </c>
      <c r="BO18" s="497">
        <f t="shared" si="38"/>
        <v>0</v>
      </c>
      <c r="BP18" s="497">
        <f t="shared" si="38"/>
        <v>0</v>
      </c>
      <c r="BQ18" s="497">
        <f t="shared" si="38"/>
        <v>0</v>
      </c>
      <c r="BR18" s="497">
        <f t="shared" si="38"/>
        <v>0</v>
      </c>
      <c r="BS18" s="497">
        <f t="shared" si="38"/>
        <v>0</v>
      </c>
      <c r="BT18" s="497">
        <f t="shared" si="38"/>
        <v>0</v>
      </c>
      <c r="BU18" s="497">
        <f t="shared" si="38"/>
        <v>0</v>
      </c>
      <c r="BV18" s="497">
        <f t="shared" si="38"/>
        <v>0</v>
      </c>
      <c r="BW18" s="524">
        <f t="shared" si="38"/>
        <v>0</v>
      </c>
      <c r="BX18" s="537" t="s">
        <v>188</v>
      </c>
      <c r="BY18" s="497">
        <f t="shared" si="20"/>
        <v>162</v>
      </c>
      <c r="BZ18" s="497">
        <f t="shared" si="14"/>
        <v>104</v>
      </c>
      <c r="CA18" s="497">
        <f t="shared" si="14"/>
        <v>0</v>
      </c>
      <c r="CB18" s="497">
        <f t="shared" si="14"/>
        <v>0</v>
      </c>
      <c r="CC18" s="497">
        <f t="shared" si="14"/>
        <v>0</v>
      </c>
      <c r="CD18" s="497">
        <f t="shared" si="14"/>
        <v>0</v>
      </c>
      <c r="CE18" s="497">
        <f t="shared" si="14"/>
        <v>0</v>
      </c>
      <c r="CF18" s="497">
        <f t="shared" si="14"/>
        <v>0</v>
      </c>
      <c r="CG18" s="497">
        <f t="shared" si="14"/>
        <v>0</v>
      </c>
      <c r="CH18" s="497">
        <f t="shared" si="14"/>
        <v>0</v>
      </c>
      <c r="CI18" s="497">
        <f t="shared" si="14"/>
        <v>0</v>
      </c>
      <c r="CJ18" s="524">
        <f t="shared" si="14"/>
        <v>0</v>
      </c>
      <c r="CK18" s="537" t="s">
        <v>188</v>
      </c>
      <c r="CL18" s="497">
        <f t="shared" si="21"/>
        <v>20</v>
      </c>
      <c r="CM18" s="497">
        <f t="shared" si="15"/>
        <v>19</v>
      </c>
      <c r="CN18" s="497">
        <f t="shared" si="15"/>
        <v>0</v>
      </c>
      <c r="CO18" s="497">
        <f t="shared" si="15"/>
        <v>0</v>
      </c>
      <c r="CP18" s="497">
        <f t="shared" si="15"/>
        <v>0</v>
      </c>
      <c r="CQ18" s="497">
        <f t="shared" si="15"/>
        <v>0</v>
      </c>
      <c r="CR18" s="497">
        <f t="shared" si="15"/>
        <v>0</v>
      </c>
      <c r="CS18" s="497">
        <f t="shared" si="15"/>
        <v>0</v>
      </c>
      <c r="CT18" s="497">
        <f t="shared" si="15"/>
        <v>0</v>
      </c>
      <c r="CU18" s="497">
        <f t="shared" si="15"/>
        <v>0</v>
      </c>
      <c r="CV18" s="497">
        <f t="shared" si="15"/>
        <v>0</v>
      </c>
      <c r="CW18" s="536">
        <f t="shared" si="15"/>
        <v>0</v>
      </c>
      <c r="CX18" s="535" t="s">
        <v>188</v>
      </c>
      <c r="CY18" s="497">
        <v>3000</v>
      </c>
      <c r="CZ18" s="497">
        <v>3000</v>
      </c>
      <c r="DA18" s="497">
        <v>3000</v>
      </c>
      <c r="DB18" s="497">
        <v>3000</v>
      </c>
      <c r="DC18" s="497">
        <v>3000</v>
      </c>
      <c r="DD18" s="497">
        <v>3000</v>
      </c>
      <c r="DE18" s="497">
        <v>3000</v>
      </c>
      <c r="DF18" s="497">
        <v>3000</v>
      </c>
      <c r="DG18" s="497">
        <v>3000</v>
      </c>
      <c r="DH18" s="497">
        <v>3000</v>
      </c>
      <c r="DI18" s="497">
        <v>3000</v>
      </c>
      <c r="DJ18" s="524">
        <v>3000</v>
      </c>
      <c r="DK18" s="537" t="s">
        <v>188</v>
      </c>
      <c r="DL18" s="536">
        <v>20000</v>
      </c>
      <c r="DM18" s="536">
        <v>20000</v>
      </c>
      <c r="DN18" s="536">
        <v>20000</v>
      </c>
      <c r="DO18" s="536">
        <v>20000</v>
      </c>
      <c r="DP18" s="536">
        <v>20000</v>
      </c>
      <c r="DQ18" s="536">
        <v>20000</v>
      </c>
      <c r="DR18" s="536">
        <v>20000</v>
      </c>
      <c r="DS18" s="536">
        <v>20000</v>
      </c>
      <c r="DT18" s="536">
        <v>20000</v>
      </c>
      <c r="DU18" s="536">
        <v>20000</v>
      </c>
      <c r="DV18" s="536">
        <v>20000</v>
      </c>
      <c r="DW18" s="536">
        <v>20000</v>
      </c>
      <c r="DX18" s="535" t="s">
        <v>188</v>
      </c>
      <c r="DY18" s="497">
        <v>15000</v>
      </c>
      <c r="DZ18" s="497">
        <v>15000</v>
      </c>
      <c r="EA18" s="497">
        <v>15000</v>
      </c>
      <c r="EB18" s="497">
        <v>15000</v>
      </c>
      <c r="EC18" s="497">
        <v>15000</v>
      </c>
      <c r="ED18" s="497">
        <v>15000</v>
      </c>
      <c r="EE18" s="497">
        <v>15000</v>
      </c>
      <c r="EF18" s="497">
        <v>15000</v>
      </c>
      <c r="EG18" s="497">
        <v>15000</v>
      </c>
      <c r="EH18" s="497">
        <v>15000</v>
      </c>
      <c r="EI18" s="497">
        <v>15000</v>
      </c>
      <c r="EJ18" s="524">
        <v>15000</v>
      </c>
      <c r="EK18" s="537" t="s">
        <v>188</v>
      </c>
      <c r="EL18" s="497"/>
      <c r="EM18" s="497"/>
      <c r="EN18" s="497"/>
      <c r="EO18" s="497"/>
      <c r="EP18" s="497"/>
      <c r="EQ18" s="497"/>
      <c r="ER18" s="497"/>
      <c r="ES18" s="497"/>
      <c r="ET18" s="497"/>
      <c r="EU18" s="497"/>
      <c r="EV18" s="497"/>
      <c r="EW18" s="536"/>
      <c r="EX18" s="535" t="s">
        <v>188</v>
      </c>
      <c r="EY18" s="497"/>
      <c r="EZ18" s="497"/>
      <c r="FA18" s="497"/>
      <c r="FB18" s="497"/>
      <c r="FC18" s="497"/>
      <c r="FD18" s="497"/>
      <c r="FE18" s="497"/>
      <c r="FF18" s="497"/>
      <c r="FG18" s="497"/>
      <c r="FH18" s="497"/>
      <c r="FI18" s="497"/>
      <c r="FJ18" s="538"/>
      <c r="FK18" s="537" t="s">
        <v>188</v>
      </c>
      <c r="FL18" s="536">
        <v>1700000</v>
      </c>
      <c r="FM18" s="497">
        <v>1800000</v>
      </c>
      <c r="FN18" s="497">
        <v>1800000</v>
      </c>
      <c r="FO18" s="497"/>
      <c r="FP18" s="497"/>
      <c r="FQ18" s="497"/>
      <c r="FR18" s="497"/>
      <c r="FS18" s="497"/>
      <c r="FT18" s="497"/>
      <c r="FU18" s="497"/>
      <c r="FV18" s="497"/>
      <c r="FW18" s="536"/>
      <c r="FX18" s="535" t="s">
        <v>188</v>
      </c>
      <c r="FY18" s="497">
        <f t="shared" si="22"/>
        <v>486000</v>
      </c>
      <c r="FZ18" s="497">
        <f t="shared" si="16"/>
        <v>312000</v>
      </c>
      <c r="GA18" s="497">
        <f t="shared" si="16"/>
        <v>0</v>
      </c>
      <c r="GB18" s="497">
        <f t="shared" si="16"/>
        <v>0</v>
      </c>
      <c r="GC18" s="497">
        <f t="shared" si="16"/>
        <v>0</v>
      </c>
      <c r="GD18" s="497">
        <f t="shared" si="16"/>
        <v>0</v>
      </c>
      <c r="GE18" s="497">
        <f t="shared" si="16"/>
        <v>0</v>
      </c>
      <c r="GF18" s="497">
        <f t="shared" si="16"/>
        <v>0</v>
      </c>
      <c r="GG18" s="497">
        <f t="shared" si="16"/>
        <v>0</v>
      </c>
      <c r="GH18" s="497">
        <f t="shared" si="16"/>
        <v>0</v>
      </c>
      <c r="GI18" s="497">
        <f t="shared" si="16"/>
        <v>0</v>
      </c>
      <c r="GJ18" s="497">
        <f t="shared" si="16"/>
        <v>0</v>
      </c>
      <c r="GK18" s="537" t="s">
        <v>188</v>
      </c>
      <c r="GL18" s="497">
        <f t="shared" si="17"/>
        <v>400000</v>
      </c>
      <c r="GM18" s="497">
        <f t="shared" si="17"/>
        <v>380000</v>
      </c>
      <c r="GN18" s="497">
        <f t="shared" si="17"/>
        <v>0</v>
      </c>
      <c r="GO18" s="497">
        <f t="shared" si="17"/>
        <v>0</v>
      </c>
      <c r="GP18" s="497">
        <f t="shared" si="17"/>
        <v>0</v>
      </c>
      <c r="GQ18" s="497">
        <f t="shared" si="17"/>
        <v>0</v>
      </c>
      <c r="GR18" s="497">
        <f t="shared" si="17"/>
        <v>0</v>
      </c>
      <c r="GS18" s="497">
        <f t="shared" si="17"/>
        <v>0</v>
      </c>
      <c r="GT18" s="497">
        <f t="shared" si="17"/>
        <v>0</v>
      </c>
      <c r="GU18" s="497">
        <f t="shared" si="17"/>
        <v>0</v>
      </c>
      <c r="GV18" s="497">
        <f t="shared" si="17"/>
        <v>0</v>
      </c>
      <c r="GW18" s="497">
        <f t="shared" si="17"/>
        <v>0</v>
      </c>
      <c r="GX18" s="537" t="s">
        <v>188</v>
      </c>
      <c r="GY18" s="173">
        <f>Y27</f>
        <v>1000</v>
      </c>
      <c r="GZ18" s="173">
        <f>U27</f>
        <v>15000</v>
      </c>
      <c r="HA18" s="173">
        <f>V27</f>
        <v>0</v>
      </c>
      <c r="HB18" s="173">
        <f>W27</f>
        <v>0</v>
      </c>
      <c r="HC18" s="534"/>
      <c r="HD18" s="534"/>
    </row>
    <row r="19" spans="1:212" ht="15.75" customHeight="1">
      <c r="A19" s="78">
        <v>11</v>
      </c>
      <c r="B19" s="936" t="s">
        <v>150</v>
      </c>
      <c r="C19" s="921" t="s">
        <v>153</v>
      </c>
      <c r="D19" s="662" t="s">
        <v>128</v>
      </c>
      <c r="E19" s="302">
        <v>8113</v>
      </c>
      <c r="F19" s="302">
        <v>8166</v>
      </c>
      <c r="G19" s="302">
        <v>8183</v>
      </c>
      <c r="H19" s="302"/>
      <c r="I19" s="302"/>
      <c r="J19" s="302"/>
      <c r="K19" s="302"/>
      <c r="L19" s="302"/>
      <c r="M19" s="302"/>
      <c r="N19" s="302"/>
      <c r="O19" s="302"/>
      <c r="P19" s="302"/>
      <c r="Q19" s="305"/>
      <c r="R19" s="90"/>
      <c r="S19" s="90"/>
      <c r="T19" s="90">
        <v>1800</v>
      </c>
      <c r="U19" s="90">
        <v>15000</v>
      </c>
      <c r="V19" s="90">
        <v>0</v>
      </c>
      <c r="W19" s="90">
        <v>0</v>
      </c>
      <c r="X19" s="21" t="s">
        <v>131</v>
      </c>
      <c r="Y19" s="90">
        <v>500</v>
      </c>
      <c r="Z19" s="90">
        <v>3000</v>
      </c>
      <c r="AA19" s="498" t="s">
        <v>153</v>
      </c>
      <c r="AB19" s="90" t="s">
        <v>132</v>
      </c>
      <c r="AC19" s="534">
        <v>11</v>
      </c>
      <c r="AD19" s="530">
        <v>6</v>
      </c>
      <c r="AE19" s="534"/>
      <c r="AF19" s="534">
        <v>11</v>
      </c>
      <c r="AG19" s="535" t="s">
        <v>194</v>
      </c>
      <c r="AH19" s="535" t="str">
        <f>B29</f>
        <v>Nguyễn Văn Nhí</v>
      </c>
      <c r="AI19" s="497">
        <v>2674000</v>
      </c>
      <c r="AJ19" s="497">
        <f t="shared" si="0"/>
        <v>2716000</v>
      </c>
      <c r="AK19" s="497">
        <f t="shared" si="1"/>
        <v>2582000</v>
      </c>
      <c r="AL19" s="497">
        <f t="shared" si="2"/>
        <v>0</v>
      </c>
      <c r="AM19" s="497">
        <f t="shared" si="3"/>
        <v>0</v>
      </c>
      <c r="AN19" s="497">
        <f t="shared" si="4"/>
        <v>0</v>
      </c>
      <c r="AO19" s="497">
        <f t="shared" si="5"/>
        <v>0</v>
      </c>
      <c r="AP19" s="497">
        <f t="shared" si="6"/>
        <v>0</v>
      </c>
      <c r="AQ19" s="497">
        <f t="shared" si="7"/>
        <v>0</v>
      </c>
      <c r="AR19" s="497">
        <f t="shared" si="8"/>
        <v>0</v>
      </c>
      <c r="AS19" s="497">
        <f t="shared" si="9"/>
        <v>0</v>
      </c>
      <c r="AT19" s="497">
        <f t="shared" si="10"/>
        <v>0</v>
      </c>
      <c r="AU19" s="536">
        <f t="shared" si="11"/>
        <v>0</v>
      </c>
      <c r="AV19" s="537" t="s">
        <v>194</v>
      </c>
      <c r="AW19" s="497">
        <f t="shared" ref="AW19:BI19" si="39">E29</f>
        <v>12978</v>
      </c>
      <c r="AX19" s="497">
        <f t="shared" si="39"/>
        <v>13175</v>
      </c>
      <c r="AY19" s="497">
        <f t="shared" si="39"/>
        <v>13334</v>
      </c>
      <c r="AZ19" s="497">
        <f t="shared" si="39"/>
        <v>0</v>
      </c>
      <c r="BA19" s="497">
        <f t="shared" si="39"/>
        <v>0</v>
      </c>
      <c r="BB19" s="497">
        <f t="shared" si="39"/>
        <v>0</v>
      </c>
      <c r="BC19" s="497">
        <f t="shared" si="39"/>
        <v>0</v>
      </c>
      <c r="BD19" s="497">
        <f t="shared" si="39"/>
        <v>0</v>
      </c>
      <c r="BE19" s="497">
        <f t="shared" si="39"/>
        <v>0</v>
      </c>
      <c r="BF19" s="497">
        <f t="shared" si="39"/>
        <v>0</v>
      </c>
      <c r="BG19" s="497">
        <f t="shared" si="39"/>
        <v>0</v>
      </c>
      <c r="BH19" s="497">
        <f t="shared" si="39"/>
        <v>0</v>
      </c>
      <c r="BI19" s="524">
        <f t="shared" si="39"/>
        <v>0</v>
      </c>
      <c r="BJ19" s="537" t="s">
        <v>194</v>
      </c>
      <c r="BK19" s="497">
        <f t="shared" ref="BK19:BW19" si="40">E30</f>
        <v>1497</v>
      </c>
      <c r="BL19" s="497">
        <f t="shared" si="40"/>
        <v>1516</v>
      </c>
      <c r="BM19" s="497">
        <f t="shared" si="40"/>
        <v>1529</v>
      </c>
      <c r="BN19" s="497">
        <f t="shared" si="40"/>
        <v>0</v>
      </c>
      <c r="BO19" s="497">
        <f t="shared" si="40"/>
        <v>0</v>
      </c>
      <c r="BP19" s="497">
        <f t="shared" si="40"/>
        <v>0</v>
      </c>
      <c r="BQ19" s="497">
        <f t="shared" si="40"/>
        <v>0</v>
      </c>
      <c r="BR19" s="497">
        <f t="shared" si="40"/>
        <v>0</v>
      </c>
      <c r="BS19" s="497">
        <f t="shared" si="40"/>
        <v>0</v>
      </c>
      <c r="BT19" s="497">
        <f t="shared" si="40"/>
        <v>0</v>
      </c>
      <c r="BU19" s="497">
        <f t="shared" si="40"/>
        <v>0</v>
      </c>
      <c r="BV19" s="497">
        <f t="shared" si="40"/>
        <v>0</v>
      </c>
      <c r="BW19" s="524">
        <f t="shared" si="40"/>
        <v>0</v>
      </c>
      <c r="BX19" s="537" t="s">
        <v>194</v>
      </c>
      <c r="BY19" s="497">
        <f t="shared" si="20"/>
        <v>197</v>
      </c>
      <c r="BZ19" s="497">
        <f t="shared" si="14"/>
        <v>159</v>
      </c>
      <c r="CA19" s="497">
        <f t="shared" si="14"/>
        <v>0</v>
      </c>
      <c r="CB19" s="497">
        <f t="shared" si="14"/>
        <v>0</v>
      </c>
      <c r="CC19" s="497">
        <f t="shared" si="14"/>
        <v>0</v>
      </c>
      <c r="CD19" s="497">
        <f t="shared" si="14"/>
        <v>0</v>
      </c>
      <c r="CE19" s="497">
        <f t="shared" si="14"/>
        <v>0</v>
      </c>
      <c r="CF19" s="497">
        <f t="shared" si="14"/>
        <v>0</v>
      </c>
      <c r="CG19" s="497">
        <f t="shared" si="14"/>
        <v>0</v>
      </c>
      <c r="CH19" s="497">
        <f t="shared" si="14"/>
        <v>0</v>
      </c>
      <c r="CI19" s="497">
        <f t="shared" si="14"/>
        <v>0</v>
      </c>
      <c r="CJ19" s="524">
        <f t="shared" si="14"/>
        <v>0</v>
      </c>
      <c r="CK19" s="537" t="s">
        <v>194</v>
      </c>
      <c r="CL19" s="497">
        <f t="shared" si="21"/>
        <v>19</v>
      </c>
      <c r="CM19" s="497">
        <f t="shared" si="15"/>
        <v>13</v>
      </c>
      <c r="CN19" s="497">
        <f t="shared" si="15"/>
        <v>0</v>
      </c>
      <c r="CO19" s="497">
        <f t="shared" si="15"/>
        <v>0</v>
      </c>
      <c r="CP19" s="497">
        <f t="shared" si="15"/>
        <v>0</v>
      </c>
      <c r="CQ19" s="497">
        <f t="shared" si="15"/>
        <v>0</v>
      </c>
      <c r="CR19" s="497">
        <f t="shared" si="15"/>
        <v>0</v>
      </c>
      <c r="CS19" s="497">
        <f t="shared" si="15"/>
        <v>0</v>
      </c>
      <c r="CT19" s="497">
        <f t="shared" si="15"/>
        <v>0</v>
      </c>
      <c r="CU19" s="497">
        <f t="shared" si="15"/>
        <v>0</v>
      </c>
      <c r="CV19" s="497">
        <f t="shared" si="15"/>
        <v>0</v>
      </c>
      <c r="CW19" s="536">
        <f t="shared" si="15"/>
        <v>0</v>
      </c>
      <c r="CX19" s="535" t="s">
        <v>194</v>
      </c>
      <c r="CY19" s="497">
        <v>3000</v>
      </c>
      <c r="CZ19" s="497">
        <v>3000</v>
      </c>
      <c r="DA19" s="497">
        <v>3000</v>
      </c>
      <c r="DB19" s="497">
        <v>3000</v>
      </c>
      <c r="DC19" s="497">
        <v>3000</v>
      </c>
      <c r="DD19" s="497">
        <v>3000</v>
      </c>
      <c r="DE19" s="497">
        <v>3000</v>
      </c>
      <c r="DF19" s="497">
        <v>3000</v>
      </c>
      <c r="DG19" s="497">
        <v>3000</v>
      </c>
      <c r="DH19" s="497">
        <v>3000</v>
      </c>
      <c r="DI19" s="497">
        <v>3000</v>
      </c>
      <c r="DJ19" s="524">
        <v>3000</v>
      </c>
      <c r="DK19" s="537" t="s">
        <v>194</v>
      </c>
      <c r="DL19" s="536">
        <v>20000</v>
      </c>
      <c r="DM19" s="536">
        <v>20000</v>
      </c>
      <c r="DN19" s="536">
        <v>20000</v>
      </c>
      <c r="DO19" s="536">
        <v>20000</v>
      </c>
      <c r="DP19" s="536">
        <v>20000</v>
      </c>
      <c r="DQ19" s="536">
        <v>20000</v>
      </c>
      <c r="DR19" s="536">
        <v>20000</v>
      </c>
      <c r="DS19" s="536">
        <v>20000</v>
      </c>
      <c r="DT19" s="536">
        <v>20000</v>
      </c>
      <c r="DU19" s="536">
        <v>20000</v>
      </c>
      <c r="DV19" s="536">
        <v>20000</v>
      </c>
      <c r="DW19" s="536">
        <v>20000</v>
      </c>
      <c r="DX19" s="535" t="s">
        <v>194</v>
      </c>
      <c r="DY19" s="497">
        <v>15000</v>
      </c>
      <c r="DZ19" s="497">
        <v>15000</v>
      </c>
      <c r="EA19" s="497">
        <v>15000</v>
      </c>
      <c r="EB19" s="497">
        <v>15000</v>
      </c>
      <c r="EC19" s="497">
        <v>15000</v>
      </c>
      <c r="ED19" s="497">
        <v>15000</v>
      </c>
      <c r="EE19" s="497">
        <v>15000</v>
      </c>
      <c r="EF19" s="497">
        <v>15000</v>
      </c>
      <c r="EG19" s="497">
        <v>15000</v>
      </c>
      <c r="EH19" s="497">
        <v>15000</v>
      </c>
      <c r="EI19" s="497">
        <v>15000</v>
      </c>
      <c r="EJ19" s="524">
        <v>15000</v>
      </c>
      <c r="EK19" s="537" t="s">
        <v>194</v>
      </c>
      <c r="EL19" s="497">
        <v>30000</v>
      </c>
      <c r="EM19" s="497">
        <v>30000</v>
      </c>
      <c r="EN19" s="497">
        <v>30000</v>
      </c>
      <c r="EO19" s="497">
        <v>30000</v>
      </c>
      <c r="EP19" s="497">
        <v>30000</v>
      </c>
      <c r="EQ19" s="497">
        <v>30000</v>
      </c>
      <c r="ER19" s="497">
        <v>30000</v>
      </c>
      <c r="ES19" s="497">
        <v>30000</v>
      </c>
      <c r="ET19" s="497">
        <v>30000</v>
      </c>
      <c r="EU19" s="497">
        <v>30000</v>
      </c>
      <c r="EV19" s="497">
        <v>30000</v>
      </c>
      <c r="EW19" s="536">
        <v>30000</v>
      </c>
      <c r="EX19" s="535" t="s">
        <v>194</v>
      </c>
      <c r="EY19" s="497"/>
      <c r="EZ19" s="497"/>
      <c r="FA19" s="497"/>
      <c r="FB19" s="497"/>
      <c r="FC19" s="497"/>
      <c r="FD19" s="497"/>
      <c r="FE19" s="497"/>
      <c r="FF19" s="497"/>
      <c r="FG19" s="497"/>
      <c r="FH19" s="497"/>
      <c r="FI19" s="497"/>
      <c r="FJ19" s="538"/>
      <c r="FK19" s="537" t="s">
        <v>194</v>
      </c>
      <c r="FL19" s="536">
        <v>1700000</v>
      </c>
      <c r="FM19" s="497">
        <v>1800000</v>
      </c>
      <c r="FN19" s="497">
        <v>1800000</v>
      </c>
      <c r="FO19" s="497"/>
      <c r="FP19" s="497"/>
      <c r="FQ19" s="497"/>
      <c r="FR19" s="497"/>
      <c r="FS19" s="497"/>
      <c r="FT19" s="497"/>
      <c r="FU19" s="497"/>
      <c r="FV19" s="497"/>
      <c r="FW19" s="536"/>
      <c r="FX19" s="535" t="s">
        <v>194</v>
      </c>
      <c r="FY19" s="497">
        <f t="shared" si="22"/>
        <v>591000</v>
      </c>
      <c r="FZ19" s="497">
        <f t="shared" si="16"/>
        <v>477000</v>
      </c>
      <c r="GA19" s="497">
        <f t="shared" si="16"/>
        <v>0</v>
      </c>
      <c r="GB19" s="497">
        <f t="shared" si="16"/>
        <v>0</v>
      </c>
      <c r="GC19" s="497">
        <f t="shared" si="16"/>
        <v>0</v>
      </c>
      <c r="GD19" s="497">
        <f t="shared" si="16"/>
        <v>0</v>
      </c>
      <c r="GE19" s="497">
        <f t="shared" si="16"/>
        <v>0</v>
      </c>
      <c r="GF19" s="497">
        <f t="shared" si="16"/>
        <v>0</v>
      </c>
      <c r="GG19" s="497">
        <f t="shared" si="16"/>
        <v>0</v>
      </c>
      <c r="GH19" s="497">
        <f t="shared" si="16"/>
        <v>0</v>
      </c>
      <c r="GI19" s="497">
        <f t="shared" si="16"/>
        <v>0</v>
      </c>
      <c r="GJ19" s="497">
        <f t="shared" si="16"/>
        <v>0</v>
      </c>
      <c r="GK19" s="537" t="s">
        <v>194</v>
      </c>
      <c r="GL19" s="497">
        <f t="shared" si="17"/>
        <v>380000</v>
      </c>
      <c r="GM19" s="497">
        <f t="shared" si="17"/>
        <v>260000</v>
      </c>
      <c r="GN19" s="497">
        <f t="shared" si="17"/>
        <v>0</v>
      </c>
      <c r="GO19" s="497">
        <f t="shared" si="17"/>
        <v>0</v>
      </c>
      <c r="GP19" s="497">
        <f t="shared" si="17"/>
        <v>0</v>
      </c>
      <c r="GQ19" s="497">
        <f t="shared" si="17"/>
        <v>0</v>
      </c>
      <c r="GR19" s="497">
        <f t="shared" si="17"/>
        <v>0</v>
      </c>
      <c r="GS19" s="497">
        <f t="shared" si="17"/>
        <v>0</v>
      </c>
      <c r="GT19" s="497">
        <f t="shared" si="17"/>
        <v>0</v>
      </c>
      <c r="GU19" s="497">
        <f t="shared" si="17"/>
        <v>0</v>
      </c>
      <c r="GV19" s="497">
        <f t="shared" si="17"/>
        <v>0</v>
      </c>
      <c r="GW19" s="497">
        <f t="shared" si="17"/>
        <v>0</v>
      </c>
      <c r="GX19" s="537" t="s">
        <v>194</v>
      </c>
      <c r="GY19" s="173">
        <f>Y29</f>
        <v>500</v>
      </c>
      <c r="GZ19" s="173">
        <f>U29</f>
        <v>15000</v>
      </c>
      <c r="HA19" s="173">
        <f>V29</f>
        <v>30000</v>
      </c>
      <c r="HB19" s="173">
        <f>W29</f>
        <v>0</v>
      </c>
      <c r="HC19" s="534"/>
      <c r="HD19" s="534"/>
    </row>
    <row r="20" spans="1:212" ht="15.75" customHeight="1">
      <c r="A20" s="95">
        <v>12</v>
      </c>
      <c r="B20" s="935"/>
      <c r="C20" s="920"/>
      <c r="D20" s="662" t="s">
        <v>139</v>
      </c>
      <c r="E20" s="302">
        <v>1322</v>
      </c>
      <c r="F20" s="302">
        <v>1329</v>
      </c>
      <c r="G20" s="302">
        <v>1334</v>
      </c>
      <c r="H20" s="302"/>
      <c r="I20" s="302"/>
      <c r="J20" s="302"/>
      <c r="K20" s="302"/>
      <c r="L20" s="302"/>
      <c r="M20" s="302"/>
      <c r="N20" s="302"/>
      <c r="O20" s="302"/>
      <c r="P20" s="302"/>
      <c r="Q20" s="305"/>
      <c r="R20" s="90"/>
      <c r="S20" s="90"/>
      <c r="T20" s="90"/>
      <c r="U20" s="90"/>
      <c r="V20" s="90"/>
      <c r="W20" s="90"/>
      <c r="X20" s="21"/>
      <c r="Y20" s="90"/>
      <c r="Z20" s="90">
        <v>20000</v>
      </c>
      <c r="AA20" s="498" t="s">
        <v>153</v>
      </c>
      <c r="AB20" s="90" t="s">
        <v>132</v>
      </c>
      <c r="AC20" s="534">
        <v>12</v>
      </c>
      <c r="AD20" s="530"/>
      <c r="AE20" s="534">
        <v>6</v>
      </c>
      <c r="AF20" s="534">
        <v>12</v>
      </c>
      <c r="AG20" s="535" t="s">
        <v>201</v>
      </c>
      <c r="AH20" s="535" t="str">
        <f>B31</f>
        <v>Đặng Hoàng Nhã</v>
      </c>
      <c r="AI20" s="497">
        <v>1872000</v>
      </c>
      <c r="AJ20" s="497">
        <f t="shared" si="0"/>
        <v>1954000</v>
      </c>
      <c r="AK20" s="497">
        <f t="shared" si="1"/>
        <v>1916000</v>
      </c>
      <c r="AL20" s="497">
        <f t="shared" si="2"/>
        <v>0</v>
      </c>
      <c r="AM20" s="497">
        <f t="shared" si="3"/>
        <v>0</v>
      </c>
      <c r="AN20" s="497">
        <f t="shared" si="4"/>
        <v>0</v>
      </c>
      <c r="AO20" s="497">
        <f t="shared" si="5"/>
        <v>0</v>
      </c>
      <c r="AP20" s="497">
        <f t="shared" si="6"/>
        <v>0</v>
      </c>
      <c r="AQ20" s="497">
        <f t="shared" si="7"/>
        <v>0</v>
      </c>
      <c r="AR20" s="497">
        <f t="shared" si="8"/>
        <v>0</v>
      </c>
      <c r="AS20" s="497">
        <f t="shared" si="9"/>
        <v>0</v>
      </c>
      <c r="AT20" s="497">
        <f t="shared" si="10"/>
        <v>0</v>
      </c>
      <c r="AU20" s="536">
        <f t="shared" si="11"/>
        <v>0</v>
      </c>
      <c r="AV20" s="537" t="s">
        <v>201</v>
      </c>
      <c r="AW20" s="497">
        <f t="shared" ref="AW20:BI20" si="41">E31</f>
        <v>10989</v>
      </c>
      <c r="AX20" s="497">
        <f t="shared" si="41"/>
        <v>11042</v>
      </c>
      <c r="AY20" s="497">
        <f t="shared" si="41"/>
        <v>11069</v>
      </c>
      <c r="AZ20" s="497">
        <f t="shared" si="41"/>
        <v>0</v>
      </c>
      <c r="BA20" s="497">
        <f t="shared" si="41"/>
        <v>0</v>
      </c>
      <c r="BB20" s="497">
        <f t="shared" si="41"/>
        <v>0</v>
      </c>
      <c r="BC20" s="497">
        <f t="shared" si="41"/>
        <v>0</v>
      </c>
      <c r="BD20" s="497">
        <f t="shared" si="41"/>
        <v>0</v>
      </c>
      <c r="BE20" s="497">
        <f t="shared" si="41"/>
        <v>0</v>
      </c>
      <c r="BF20" s="497">
        <f t="shared" si="41"/>
        <v>0</v>
      </c>
      <c r="BG20" s="497">
        <f t="shared" si="41"/>
        <v>0</v>
      </c>
      <c r="BH20" s="497">
        <f t="shared" si="41"/>
        <v>0</v>
      </c>
      <c r="BI20" s="524">
        <f t="shared" si="41"/>
        <v>0</v>
      </c>
      <c r="BJ20" s="537" t="s">
        <v>201</v>
      </c>
      <c r="BK20" s="497">
        <f t="shared" ref="BK20:BW20" si="42">E32</f>
        <v>977</v>
      </c>
      <c r="BL20" s="497">
        <f t="shared" si="42"/>
        <v>981</v>
      </c>
      <c r="BM20" s="497">
        <f t="shared" si="42"/>
        <v>982</v>
      </c>
      <c r="BN20" s="497">
        <f t="shared" si="42"/>
        <v>0</v>
      </c>
      <c r="BO20" s="497">
        <f t="shared" si="42"/>
        <v>0</v>
      </c>
      <c r="BP20" s="497">
        <f t="shared" si="42"/>
        <v>0</v>
      </c>
      <c r="BQ20" s="497">
        <f t="shared" si="42"/>
        <v>0</v>
      </c>
      <c r="BR20" s="497">
        <f t="shared" si="42"/>
        <v>0</v>
      </c>
      <c r="BS20" s="497">
        <f t="shared" si="42"/>
        <v>0</v>
      </c>
      <c r="BT20" s="497">
        <f t="shared" si="42"/>
        <v>0</v>
      </c>
      <c r="BU20" s="497">
        <f t="shared" si="42"/>
        <v>0</v>
      </c>
      <c r="BV20" s="497">
        <f t="shared" si="42"/>
        <v>0</v>
      </c>
      <c r="BW20" s="524">
        <f t="shared" si="42"/>
        <v>0</v>
      </c>
      <c r="BX20" s="537" t="s">
        <v>201</v>
      </c>
      <c r="BY20" s="497">
        <f t="shared" si="20"/>
        <v>53</v>
      </c>
      <c r="BZ20" s="497">
        <f t="shared" si="14"/>
        <v>27</v>
      </c>
      <c r="CA20" s="497">
        <f t="shared" si="14"/>
        <v>0</v>
      </c>
      <c r="CB20" s="497">
        <f t="shared" si="14"/>
        <v>0</v>
      </c>
      <c r="CC20" s="497">
        <f t="shared" si="14"/>
        <v>0</v>
      </c>
      <c r="CD20" s="497">
        <f t="shared" si="14"/>
        <v>0</v>
      </c>
      <c r="CE20" s="497">
        <f t="shared" si="14"/>
        <v>0</v>
      </c>
      <c r="CF20" s="497">
        <f t="shared" si="14"/>
        <v>0</v>
      </c>
      <c r="CG20" s="497">
        <f t="shared" si="14"/>
        <v>0</v>
      </c>
      <c r="CH20" s="497">
        <f t="shared" si="14"/>
        <v>0</v>
      </c>
      <c r="CI20" s="497">
        <f t="shared" si="14"/>
        <v>0</v>
      </c>
      <c r="CJ20" s="524">
        <f t="shared" si="14"/>
        <v>0</v>
      </c>
      <c r="CK20" s="537" t="s">
        <v>201</v>
      </c>
      <c r="CL20" s="497">
        <f t="shared" si="21"/>
        <v>4</v>
      </c>
      <c r="CM20" s="497">
        <f t="shared" si="15"/>
        <v>1</v>
      </c>
      <c r="CN20" s="497">
        <f t="shared" si="15"/>
        <v>0</v>
      </c>
      <c r="CO20" s="497">
        <f t="shared" si="15"/>
        <v>0</v>
      </c>
      <c r="CP20" s="497">
        <f t="shared" si="15"/>
        <v>0</v>
      </c>
      <c r="CQ20" s="497">
        <f t="shared" si="15"/>
        <v>0</v>
      </c>
      <c r="CR20" s="497">
        <f t="shared" si="15"/>
        <v>0</v>
      </c>
      <c r="CS20" s="497">
        <f t="shared" si="15"/>
        <v>0</v>
      </c>
      <c r="CT20" s="497">
        <f t="shared" si="15"/>
        <v>0</v>
      </c>
      <c r="CU20" s="497">
        <f t="shared" si="15"/>
        <v>0</v>
      </c>
      <c r="CV20" s="497">
        <f t="shared" si="15"/>
        <v>0</v>
      </c>
      <c r="CW20" s="536">
        <f t="shared" si="15"/>
        <v>0</v>
      </c>
      <c r="CX20" s="535" t="s">
        <v>201</v>
      </c>
      <c r="CY20" s="497">
        <v>3000</v>
      </c>
      <c r="CZ20" s="497">
        <v>3000</v>
      </c>
      <c r="DA20" s="497">
        <v>3000</v>
      </c>
      <c r="DB20" s="497">
        <v>3000</v>
      </c>
      <c r="DC20" s="497">
        <v>3000</v>
      </c>
      <c r="DD20" s="497">
        <v>3000</v>
      </c>
      <c r="DE20" s="497">
        <v>3000</v>
      </c>
      <c r="DF20" s="497">
        <v>3000</v>
      </c>
      <c r="DG20" s="497">
        <v>3000</v>
      </c>
      <c r="DH20" s="497">
        <v>3000</v>
      </c>
      <c r="DI20" s="497">
        <v>3000</v>
      </c>
      <c r="DJ20" s="524">
        <v>3000</v>
      </c>
      <c r="DK20" s="537" t="s">
        <v>201</v>
      </c>
      <c r="DL20" s="536">
        <v>20000</v>
      </c>
      <c r="DM20" s="536">
        <v>20000</v>
      </c>
      <c r="DN20" s="536">
        <v>20000</v>
      </c>
      <c r="DO20" s="536">
        <v>20000</v>
      </c>
      <c r="DP20" s="536">
        <v>20000</v>
      </c>
      <c r="DQ20" s="536">
        <v>20000</v>
      </c>
      <c r="DR20" s="536">
        <v>20000</v>
      </c>
      <c r="DS20" s="536">
        <v>20000</v>
      </c>
      <c r="DT20" s="536">
        <v>20000</v>
      </c>
      <c r="DU20" s="536">
        <v>20000</v>
      </c>
      <c r="DV20" s="536">
        <v>20000</v>
      </c>
      <c r="DW20" s="536">
        <v>20000</v>
      </c>
      <c r="DX20" s="535" t="s">
        <v>201</v>
      </c>
      <c r="DY20" s="497">
        <v>15000</v>
      </c>
      <c r="DZ20" s="497">
        <v>15000</v>
      </c>
      <c r="EA20" s="497">
        <v>15000</v>
      </c>
      <c r="EB20" s="497">
        <v>15000</v>
      </c>
      <c r="EC20" s="497">
        <v>15000</v>
      </c>
      <c r="ED20" s="497">
        <v>15000</v>
      </c>
      <c r="EE20" s="497">
        <v>15000</v>
      </c>
      <c r="EF20" s="497">
        <v>15000</v>
      </c>
      <c r="EG20" s="497">
        <v>15000</v>
      </c>
      <c r="EH20" s="497">
        <v>15000</v>
      </c>
      <c r="EI20" s="497">
        <v>15000</v>
      </c>
      <c r="EJ20" s="524">
        <v>15000</v>
      </c>
      <c r="EK20" s="537" t="s">
        <v>201</v>
      </c>
      <c r="EL20" s="497"/>
      <c r="EM20" s="497"/>
      <c r="EN20" s="497"/>
      <c r="EO20" s="497"/>
      <c r="EP20" s="497"/>
      <c r="EQ20" s="497"/>
      <c r="ER20" s="497"/>
      <c r="ES20" s="497"/>
      <c r="ET20" s="497"/>
      <c r="EU20" s="497"/>
      <c r="EV20" s="497"/>
      <c r="EW20" s="536"/>
      <c r="EX20" s="535" t="s">
        <v>201</v>
      </c>
      <c r="EY20" s="497"/>
      <c r="EZ20" s="497"/>
      <c r="FA20" s="497"/>
      <c r="FB20" s="497"/>
      <c r="FC20" s="497"/>
      <c r="FD20" s="497"/>
      <c r="FE20" s="497"/>
      <c r="FF20" s="497"/>
      <c r="FG20" s="497"/>
      <c r="FH20" s="497"/>
      <c r="FI20" s="497"/>
      <c r="FJ20" s="538"/>
      <c r="FK20" s="537" t="s">
        <v>201</v>
      </c>
      <c r="FL20" s="536">
        <v>1700000</v>
      </c>
      <c r="FM20" s="497">
        <v>1800000</v>
      </c>
      <c r="FN20" s="497">
        <v>1800000</v>
      </c>
      <c r="FO20" s="497"/>
      <c r="FP20" s="497"/>
      <c r="FQ20" s="497"/>
      <c r="FR20" s="497"/>
      <c r="FS20" s="497"/>
      <c r="FT20" s="497"/>
      <c r="FU20" s="497"/>
      <c r="FV20" s="497"/>
      <c r="FW20" s="536"/>
      <c r="FX20" s="535" t="s">
        <v>201</v>
      </c>
      <c r="FY20" s="497">
        <f t="shared" si="22"/>
        <v>159000</v>
      </c>
      <c r="FZ20" s="497">
        <f t="shared" si="16"/>
        <v>81000</v>
      </c>
      <c r="GA20" s="497">
        <f t="shared" si="16"/>
        <v>0</v>
      </c>
      <c r="GB20" s="497">
        <f t="shared" si="16"/>
        <v>0</v>
      </c>
      <c r="GC20" s="497">
        <f t="shared" si="16"/>
        <v>0</v>
      </c>
      <c r="GD20" s="497">
        <f t="shared" si="16"/>
        <v>0</v>
      </c>
      <c r="GE20" s="497">
        <f t="shared" si="16"/>
        <v>0</v>
      </c>
      <c r="GF20" s="497">
        <f t="shared" si="16"/>
        <v>0</v>
      </c>
      <c r="GG20" s="497">
        <f t="shared" si="16"/>
        <v>0</v>
      </c>
      <c r="GH20" s="497">
        <f t="shared" si="16"/>
        <v>0</v>
      </c>
      <c r="GI20" s="497">
        <f t="shared" si="16"/>
        <v>0</v>
      </c>
      <c r="GJ20" s="497">
        <f t="shared" si="16"/>
        <v>0</v>
      </c>
      <c r="GK20" s="537" t="s">
        <v>201</v>
      </c>
      <c r="GL20" s="497">
        <f t="shared" si="17"/>
        <v>80000</v>
      </c>
      <c r="GM20" s="497">
        <f t="shared" si="17"/>
        <v>20000</v>
      </c>
      <c r="GN20" s="497">
        <f t="shared" si="17"/>
        <v>0</v>
      </c>
      <c r="GO20" s="497">
        <f t="shared" si="17"/>
        <v>0</v>
      </c>
      <c r="GP20" s="497">
        <f t="shared" si="17"/>
        <v>0</v>
      </c>
      <c r="GQ20" s="497">
        <f t="shared" si="17"/>
        <v>0</v>
      </c>
      <c r="GR20" s="497">
        <f t="shared" si="17"/>
        <v>0</v>
      </c>
      <c r="GS20" s="497">
        <f t="shared" si="17"/>
        <v>0</v>
      </c>
      <c r="GT20" s="497">
        <f t="shared" si="17"/>
        <v>0</v>
      </c>
      <c r="GU20" s="497">
        <f t="shared" si="17"/>
        <v>0</v>
      </c>
      <c r="GV20" s="497">
        <f t="shared" si="17"/>
        <v>0</v>
      </c>
      <c r="GW20" s="497">
        <f t="shared" si="17"/>
        <v>0</v>
      </c>
      <c r="GX20" s="537" t="s">
        <v>201</v>
      </c>
      <c r="GY20" s="173">
        <f>Y31</f>
        <v>1000</v>
      </c>
      <c r="GZ20" s="173">
        <f>U31</f>
        <v>15000</v>
      </c>
      <c r="HA20" s="173">
        <f>V31</f>
        <v>0</v>
      </c>
      <c r="HB20" s="173">
        <f>W31</f>
        <v>0</v>
      </c>
      <c r="HC20" s="530"/>
      <c r="HD20" s="534"/>
    </row>
    <row r="21" spans="1:212" ht="15.75" customHeight="1">
      <c r="A21" s="78">
        <v>13</v>
      </c>
      <c r="B21" s="934" t="s">
        <v>160</v>
      </c>
      <c r="C21" s="919" t="s">
        <v>162</v>
      </c>
      <c r="D21" s="660" t="s">
        <v>128</v>
      </c>
      <c r="E21" s="661">
        <v>6788</v>
      </c>
      <c r="F21" s="661">
        <v>6868</v>
      </c>
      <c r="G21" s="661">
        <v>6953</v>
      </c>
      <c r="H21" s="661"/>
      <c r="I21" s="661"/>
      <c r="J21" s="661"/>
      <c r="K21" s="661"/>
      <c r="L21" s="661"/>
      <c r="M21" s="661"/>
      <c r="N21" s="661"/>
      <c r="O21" s="661"/>
      <c r="P21" s="661"/>
      <c r="Q21" s="666"/>
      <c r="R21" s="89"/>
      <c r="S21" s="90"/>
      <c r="T21" s="90">
        <v>1800</v>
      </c>
      <c r="U21" s="90">
        <v>15000</v>
      </c>
      <c r="V21" s="90">
        <v>0</v>
      </c>
      <c r="W21" s="90">
        <v>0</v>
      </c>
      <c r="X21" s="21" t="s">
        <v>131</v>
      </c>
      <c r="Y21" s="90">
        <v>500</v>
      </c>
      <c r="Z21" s="90">
        <v>3000</v>
      </c>
      <c r="AA21" s="498" t="s">
        <v>162</v>
      </c>
      <c r="AB21" s="90" t="s">
        <v>132</v>
      </c>
      <c r="AC21" s="534">
        <v>13</v>
      </c>
      <c r="AD21" s="534">
        <v>7</v>
      </c>
      <c r="AE21" s="534"/>
      <c r="AF21" s="534">
        <v>13</v>
      </c>
      <c r="AG21" s="535" t="s">
        <v>213</v>
      </c>
      <c r="AH21" s="535" t="str">
        <f>B33</f>
        <v>Võ Văn Thạnh</v>
      </c>
      <c r="AI21" s="497">
        <v>1963000</v>
      </c>
      <c r="AJ21" s="497">
        <f t="shared" si="0"/>
        <v>2047000</v>
      </c>
      <c r="AK21" s="497">
        <f t="shared" si="1"/>
        <v>2124000</v>
      </c>
      <c r="AL21" s="497">
        <f t="shared" si="2"/>
        <v>0</v>
      </c>
      <c r="AM21" s="497">
        <f t="shared" si="3"/>
        <v>0</v>
      </c>
      <c r="AN21" s="497">
        <f t="shared" si="4"/>
        <v>0</v>
      </c>
      <c r="AO21" s="497">
        <f t="shared" si="5"/>
        <v>0</v>
      </c>
      <c r="AP21" s="497">
        <f t="shared" si="6"/>
        <v>0</v>
      </c>
      <c r="AQ21" s="497">
        <f t="shared" si="7"/>
        <v>0</v>
      </c>
      <c r="AR21" s="497">
        <f t="shared" si="8"/>
        <v>0</v>
      </c>
      <c r="AS21" s="497">
        <f t="shared" si="9"/>
        <v>0</v>
      </c>
      <c r="AT21" s="497">
        <f t="shared" si="10"/>
        <v>0</v>
      </c>
      <c r="AU21" s="536">
        <f t="shared" si="11"/>
        <v>0</v>
      </c>
      <c r="AV21" s="537" t="s">
        <v>213</v>
      </c>
      <c r="AW21" s="497">
        <f t="shared" ref="AW21:BI21" si="43">E33</f>
        <v>8645</v>
      </c>
      <c r="AX21" s="497">
        <f t="shared" si="43"/>
        <v>8709</v>
      </c>
      <c r="AY21" s="497">
        <f t="shared" si="43"/>
        <v>8772</v>
      </c>
      <c r="AZ21" s="497">
        <f t="shared" si="43"/>
        <v>0</v>
      </c>
      <c r="BA21" s="497">
        <f t="shared" si="43"/>
        <v>0</v>
      </c>
      <c r="BB21" s="497">
        <f t="shared" si="43"/>
        <v>0</v>
      </c>
      <c r="BC21" s="497">
        <f t="shared" si="43"/>
        <v>0</v>
      </c>
      <c r="BD21" s="497">
        <f t="shared" si="43"/>
        <v>0</v>
      </c>
      <c r="BE21" s="497">
        <f t="shared" si="43"/>
        <v>0</v>
      </c>
      <c r="BF21" s="497">
        <f t="shared" si="43"/>
        <v>0</v>
      </c>
      <c r="BG21" s="497">
        <f t="shared" si="43"/>
        <v>0</v>
      </c>
      <c r="BH21" s="497">
        <f t="shared" si="43"/>
        <v>0</v>
      </c>
      <c r="BI21" s="524">
        <f t="shared" si="43"/>
        <v>0</v>
      </c>
      <c r="BJ21" s="537" t="s">
        <v>213</v>
      </c>
      <c r="BK21" s="497">
        <f t="shared" ref="BK21:BW21" si="44">E34</f>
        <v>906</v>
      </c>
      <c r="BL21" s="497">
        <f t="shared" si="44"/>
        <v>912</v>
      </c>
      <c r="BM21" s="497">
        <f t="shared" si="44"/>
        <v>917</v>
      </c>
      <c r="BN21" s="497">
        <f t="shared" si="44"/>
        <v>0</v>
      </c>
      <c r="BO21" s="497">
        <f t="shared" si="44"/>
        <v>0</v>
      </c>
      <c r="BP21" s="497">
        <f t="shared" si="44"/>
        <v>0</v>
      </c>
      <c r="BQ21" s="497">
        <f t="shared" si="44"/>
        <v>0</v>
      </c>
      <c r="BR21" s="497">
        <f t="shared" si="44"/>
        <v>0</v>
      </c>
      <c r="BS21" s="497">
        <f t="shared" si="44"/>
        <v>0</v>
      </c>
      <c r="BT21" s="497">
        <f t="shared" si="44"/>
        <v>0</v>
      </c>
      <c r="BU21" s="497">
        <f t="shared" si="44"/>
        <v>0</v>
      </c>
      <c r="BV21" s="497">
        <f t="shared" si="44"/>
        <v>0</v>
      </c>
      <c r="BW21" s="524">
        <f t="shared" si="44"/>
        <v>0</v>
      </c>
      <c r="BX21" s="537" t="s">
        <v>213</v>
      </c>
      <c r="BY21" s="497">
        <f t="shared" si="20"/>
        <v>64</v>
      </c>
      <c r="BZ21" s="497">
        <f t="shared" si="14"/>
        <v>63</v>
      </c>
      <c r="CA21" s="497">
        <f t="shared" si="14"/>
        <v>0</v>
      </c>
      <c r="CB21" s="497">
        <f t="shared" si="14"/>
        <v>0</v>
      </c>
      <c r="CC21" s="497">
        <f t="shared" si="14"/>
        <v>0</v>
      </c>
      <c r="CD21" s="497">
        <f t="shared" si="14"/>
        <v>0</v>
      </c>
      <c r="CE21" s="497">
        <f t="shared" si="14"/>
        <v>0</v>
      </c>
      <c r="CF21" s="497">
        <f t="shared" si="14"/>
        <v>0</v>
      </c>
      <c r="CG21" s="497">
        <f t="shared" si="14"/>
        <v>0</v>
      </c>
      <c r="CH21" s="497">
        <f t="shared" si="14"/>
        <v>0</v>
      </c>
      <c r="CI21" s="497">
        <f t="shared" si="14"/>
        <v>0</v>
      </c>
      <c r="CJ21" s="524">
        <f t="shared" si="14"/>
        <v>0</v>
      </c>
      <c r="CK21" s="537" t="s">
        <v>213</v>
      </c>
      <c r="CL21" s="497">
        <f t="shared" si="21"/>
        <v>6</v>
      </c>
      <c r="CM21" s="497">
        <f t="shared" si="15"/>
        <v>5</v>
      </c>
      <c r="CN21" s="497">
        <f t="shared" si="15"/>
        <v>0</v>
      </c>
      <c r="CO21" s="497">
        <f t="shared" si="15"/>
        <v>0</v>
      </c>
      <c r="CP21" s="497">
        <f t="shared" si="15"/>
        <v>0</v>
      </c>
      <c r="CQ21" s="497">
        <f t="shared" si="15"/>
        <v>0</v>
      </c>
      <c r="CR21" s="497">
        <f t="shared" si="15"/>
        <v>0</v>
      </c>
      <c r="CS21" s="497">
        <f t="shared" si="15"/>
        <v>0</v>
      </c>
      <c r="CT21" s="497">
        <f t="shared" si="15"/>
        <v>0</v>
      </c>
      <c r="CU21" s="497">
        <f t="shared" si="15"/>
        <v>0</v>
      </c>
      <c r="CV21" s="497">
        <f t="shared" si="15"/>
        <v>0</v>
      </c>
      <c r="CW21" s="536">
        <f t="shared" si="15"/>
        <v>0</v>
      </c>
      <c r="CX21" s="535" t="s">
        <v>213</v>
      </c>
      <c r="CY21" s="497">
        <v>3000</v>
      </c>
      <c r="CZ21" s="497">
        <v>3000</v>
      </c>
      <c r="DA21" s="497">
        <v>3000</v>
      </c>
      <c r="DB21" s="497">
        <v>3000</v>
      </c>
      <c r="DC21" s="497">
        <v>3000</v>
      </c>
      <c r="DD21" s="497">
        <v>3000</v>
      </c>
      <c r="DE21" s="497">
        <v>3000</v>
      </c>
      <c r="DF21" s="497">
        <v>3000</v>
      </c>
      <c r="DG21" s="497">
        <v>3000</v>
      </c>
      <c r="DH21" s="497">
        <v>3000</v>
      </c>
      <c r="DI21" s="497">
        <v>3000</v>
      </c>
      <c r="DJ21" s="524">
        <v>3000</v>
      </c>
      <c r="DK21" s="537" t="s">
        <v>213</v>
      </c>
      <c r="DL21" s="536">
        <v>20000</v>
      </c>
      <c r="DM21" s="536">
        <v>20000</v>
      </c>
      <c r="DN21" s="536">
        <v>20000</v>
      </c>
      <c r="DO21" s="536">
        <v>20000</v>
      </c>
      <c r="DP21" s="536">
        <v>20000</v>
      </c>
      <c r="DQ21" s="536">
        <v>20000</v>
      </c>
      <c r="DR21" s="536">
        <v>20000</v>
      </c>
      <c r="DS21" s="536">
        <v>20000</v>
      </c>
      <c r="DT21" s="536">
        <v>20000</v>
      </c>
      <c r="DU21" s="536">
        <v>20000</v>
      </c>
      <c r="DV21" s="536">
        <v>20000</v>
      </c>
      <c r="DW21" s="536">
        <v>20000</v>
      </c>
      <c r="DX21" s="535" t="s">
        <v>213</v>
      </c>
      <c r="DY21" s="497">
        <v>15000</v>
      </c>
      <c r="DZ21" s="497">
        <v>15000</v>
      </c>
      <c r="EA21" s="497">
        <v>15000</v>
      </c>
      <c r="EB21" s="497">
        <v>15000</v>
      </c>
      <c r="EC21" s="497">
        <v>15000</v>
      </c>
      <c r="ED21" s="497">
        <v>15000</v>
      </c>
      <c r="EE21" s="497">
        <v>15000</v>
      </c>
      <c r="EF21" s="497">
        <v>15000</v>
      </c>
      <c r="EG21" s="497">
        <v>15000</v>
      </c>
      <c r="EH21" s="497">
        <v>15000</v>
      </c>
      <c r="EI21" s="497">
        <v>15000</v>
      </c>
      <c r="EJ21" s="524">
        <v>15000</v>
      </c>
      <c r="EK21" s="537" t="s">
        <v>213</v>
      </c>
      <c r="EL21" s="497">
        <v>20000</v>
      </c>
      <c r="EM21" s="497">
        <v>20000</v>
      </c>
      <c r="EN21" s="497">
        <v>20000</v>
      </c>
      <c r="EO21" s="497">
        <v>20000</v>
      </c>
      <c r="EP21" s="497">
        <v>20000</v>
      </c>
      <c r="EQ21" s="497">
        <v>20000</v>
      </c>
      <c r="ER21" s="497">
        <v>20000</v>
      </c>
      <c r="ES21" s="497">
        <v>20000</v>
      </c>
      <c r="ET21" s="497">
        <v>20000</v>
      </c>
      <c r="EU21" s="497">
        <v>20000</v>
      </c>
      <c r="EV21" s="497">
        <v>20000</v>
      </c>
      <c r="EW21" s="536">
        <v>20000</v>
      </c>
      <c r="EX21" s="535" t="s">
        <v>213</v>
      </c>
      <c r="EY21" s="497"/>
      <c r="EZ21" s="497"/>
      <c r="FA21" s="497"/>
      <c r="FB21" s="497"/>
      <c r="FC21" s="497"/>
      <c r="FD21" s="497"/>
      <c r="FE21" s="497"/>
      <c r="FF21" s="497"/>
      <c r="FG21" s="497"/>
      <c r="FH21" s="497"/>
      <c r="FI21" s="497"/>
      <c r="FJ21" s="538"/>
      <c r="FK21" s="537" t="s">
        <v>213</v>
      </c>
      <c r="FL21" s="536">
        <v>1700000</v>
      </c>
      <c r="FM21" s="497">
        <v>1800000</v>
      </c>
      <c r="FN21" s="497">
        <v>1800000</v>
      </c>
      <c r="FO21" s="497"/>
      <c r="FP21" s="497"/>
      <c r="FQ21" s="497"/>
      <c r="FR21" s="497"/>
      <c r="FS21" s="497"/>
      <c r="FT21" s="497"/>
      <c r="FU21" s="497"/>
      <c r="FV21" s="497"/>
      <c r="FW21" s="536"/>
      <c r="FX21" s="535" t="s">
        <v>213</v>
      </c>
      <c r="FY21" s="497">
        <f t="shared" si="22"/>
        <v>192000</v>
      </c>
      <c r="FZ21" s="497">
        <f t="shared" si="16"/>
        <v>189000</v>
      </c>
      <c r="GA21" s="497">
        <f t="shared" si="16"/>
        <v>0</v>
      </c>
      <c r="GB21" s="497">
        <f t="shared" si="16"/>
        <v>0</v>
      </c>
      <c r="GC21" s="497">
        <f t="shared" si="16"/>
        <v>0</v>
      </c>
      <c r="GD21" s="497">
        <f t="shared" si="16"/>
        <v>0</v>
      </c>
      <c r="GE21" s="497">
        <f t="shared" si="16"/>
        <v>0</v>
      </c>
      <c r="GF21" s="497">
        <f t="shared" si="16"/>
        <v>0</v>
      </c>
      <c r="GG21" s="497">
        <f t="shared" si="16"/>
        <v>0</v>
      </c>
      <c r="GH21" s="497">
        <f t="shared" si="16"/>
        <v>0</v>
      </c>
      <c r="GI21" s="497">
        <f t="shared" si="16"/>
        <v>0</v>
      </c>
      <c r="GJ21" s="497">
        <f t="shared" si="16"/>
        <v>0</v>
      </c>
      <c r="GK21" s="537" t="s">
        <v>213</v>
      </c>
      <c r="GL21" s="497">
        <f t="shared" si="17"/>
        <v>120000</v>
      </c>
      <c r="GM21" s="497">
        <f t="shared" si="17"/>
        <v>100000</v>
      </c>
      <c r="GN21" s="497">
        <f t="shared" si="17"/>
        <v>0</v>
      </c>
      <c r="GO21" s="497">
        <f t="shared" si="17"/>
        <v>0</v>
      </c>
      <c r="GP21" s="497">
        <f t="shared" si="17"/>
        <v>0</v>
      </c>
      <c r="GQ21" s="497">
        <f t="shared" si="17"/>
        <v>0</v>
      </c>
      <c r="GR21" s="497">
        <f t="shared" si="17"/>
        <v>0</v>
      </c>
      <c r="GS21" s="497">
        <f t="shared" si="17"/>
        <v>0</v>
      </c>
      <c r="GT21" s="497">
        <f t="shared" si="17"/>
        <v>0</v>
      </c>
      <c r="GU21" s="497">
        <f t="shared" si="17"/>
        <v>0</v>
      </c>
      <c r="GV21" s="497">
        <f t="shared" si="17"/>
        <v>0</v>
      </c>
      <c r="GW21" s="497">
        <f t="shared" si="17"/>
        <v>0</v>
      </c>
      <c r="GX21" s="537" t="s">
        <v>213</v>
      </c>
      <c r="GY21" s="173">
        <f>Y33</f>
        <v>500</v>
      </c>
      <c r="GZ21" s="173">
        <f>U33</f>
        <v>15000</v>
      </c>
      <c r="HA21" s="173">
        <f>V33</f>
        <v>20000</v>
      </c>
      <c r="HB21" s="173">
        <f>W33</f>
        <v>0</v>
      </c>
      <c r="HC21" s="534"/>
      <c r="HD21" s="534"/>
    </row>
    <row r="22" spans="1:212" ht="15.75" customHeight="1">
      <c r="A22" s="95">
        <v>14</v>
      </c>
      <c r="B22" s="935"/>
      <c r="C22" s="920"/>
      <c r="D22" s="660" t="s">
        <v>139</v>
      </c>
      <c r="E22" s="661">
        <v>653</v>
      </c>
      <c r="F22" s="661">
        <v>657</v>
      </c>
      <c r="G22" s="661">
        <v>681</v>
      </c>
      <c r="H22" s="661"/>
      <c r="I22" s="661"/>
      <c r="J22" s="661"/>
      <c r="K22" s="661"/>
      <c r="L22" s="661"/>
      <c r="M22" s="661"/>
      <c r="N22" s="661"/>
      <c r="O22" s="661"/>
      <c r="P22" s="661"/>
      <c r="Q22" s="666"/>
      <c r="R22" s="89"/>
      <c r="S22" s="90"/>
      <c r="T22" s="90"/>
      <c r="U22" s="90"/>
      <c r="V22" s="90"/>
      <c r="W22" s="90"/>
      <c r="X22" s="21"/>
      <c r="Y22" s="90"/>
      <c r="Z22" s="90">
        <v>20000</v>
      </c>
      <c r="AA22" s="498" t="s">
        <v>162</v>
      </c>
      <c r="AB22" s="90" t="s">
        <v>132</v>
      </c>
      <c r="AC22" s="534">
        <v>14</v>
      </c>
      <c r="AD22" s="534"/>
      <c r="AE22" s="534">
        <v>7</v>
      </c>
      <c r="AF22" s="534">
        <v>14</v>
      </c>
      <c r="AG22" s="535" t="s">
        <v>220</v>
      </c>
      <c r="AH22" s="535" t="str">
        <f>B35</f>
        <v>Nguyễn Phúc Kha</v>
      </c>
      <c r="AI22" s="497">
        <v>1875000</v>
      </c>
      <c r="AJ22" s="497">
        <f t="shared" si="0"/>
        <v>1923000</v>
      </c>
      <c r="AK22" s="497">
        <f t="shared" si="1"/>
        <v>1894000</v>
      </c>
      <c r="AL22" s="497">
        <f t="shared" si="2"/>
        <v>0</v>
      </c>
      <c r="AM22" s="497">
        <f t="shared" si="3"/>
        <v>0</v>
      </c>
      <c r="AN22" s="497">
        <f t="shared" si="4"/>
        <v>0</v>
      </c>
      <c r="AO22" s="497">
        <f t="shared" si="5"/>
        <v>0</v>
      </c>
      <c r="AP22" s="497">
        <f t="shared" si="6"/>
        <v>0</v>
      </c>
      <c r="AQ22" s="497">
        <f t="shared" si="7"/>
        <v>0</v>
      </c>
      <c r="AR22" s="497">
        <f t="shared" si="8"/>
        <v>0</v>
      </c>
      <c r="AS22" s="497">
        <f t="shared" si="9"/>
        <v>0</v>
      </c>
      <c r="AT22" s="497">
        <f t="shared" si="10"/>
        <v>0</v>
      </c>
      <c r="AU22" s="536">
        <f t="shared" si="11"/>
        <v>0</v>
      </c>
      <c r="AV22" s="537" t="s">
        <v>220</v>
      </c>
      <c r="AW22" s="497">
        <f t="shared" ref="AW22:BI22" si="45">E35</f>
        <v>7185</v>
      </c>
      <c r="AX22" s="497">
        <f t="shared" si="45"/>
        <v>7241</v>
      </c>
      <c r="AY22" s="497">
        <f t="shared" si="45"/>
        <v>7274</v>
      </c>
      <c r="AZ22" s="497">
        <f t="shared" si="45"/>
        <v>0</v>
      </c>
      <c r="BA22" s="497">
        <f t="shared" si="45"/>
        <v>0</v>
      </c>
      <c r="BB22" s="497">
        <f t="shared" si="45"/>
        <v>0</v>
      </c>
      <c r="BC22" s="497">
        <f t="shared" si="45"/>
        <v>0</v>
      </c>
      <c r="BD22" s="497">
        <f t="shared" si="45"/>
        <v>0</v>
      </c>
      <c r="BE22" s="497">
        <f t="shared" si="45"/>
        <v>0</v>
      </c>
      <c r="BF22" s="497">
        <f t="shared" si="45"/>
        <v>0</v>
      </c>
      <c r="BG22" s="497">
        <f t="shared" si="45"/>
        <v>0</v>
      </c>
      <c r="BH22" s="497">
        <f t="shared" si="45"/>
        <v>0</v>
      </c>
      <c r="BI22" s="524">
        <f t="shared" si="45"/>
        <v>0</v>
      </c>
      <c r="BJ22" s="537" t="s">
        <v>220</v>
      </c>
      <c r="BK22" s="497">
        <f t="shared" ref="BK22:BW22" si="46">E36</f>
        <v>804</v>
      </c>
      <c r="BL22" s="497">
        <f t="shared" si="46"/>
        <v>816</v>
      </c>
      <c r="BM22" s="497">
        <f t="shared" si="46"/>
        <v>825</v>
      </c>
      <c r="BN22" s="497">
        <f t="shared" si="46"/>
        <v>0</v>
      </c>
      <c r="BO22" s="497">
        <f t="shared" si="46"/>
        <v>0</v>
      </c>
      <c r="BP22" s="497">
        <f t="shared" si="46"/>
        <v>0</v>
      </c>
      <c r="BQ22" s="497">
        <f t="shared" si="46"/>
        <v>0</v>
      </c>
      <c r="BR22" s="497">
        <f t="shared" si="46"/>
        <v>0</v>
      </c>
      <c r="BS22" s="497">
        <f t="shared" si="46"/>
        <v>0</v>
      </c>
      <c r="BT22" s="497">
        <f t="shared" si="46"/>
        <v>0</v>
      </c>
      <c r="BU22" s="497">
        <f t="shared" si="46"/>
        <v>0</v>
      </c>
      <c r="BV22" s="497">
        <f t="shared" si="46"/>
        <v>0</v>
      </c>
      <c r="BW22" s="524">
        <f t="shared" si="46"/>
        <v>0</v>
      </c>
      <c r="BX22" s="537" t="s">
        <v>220</v>
      </c>
      <c r="BY22" s="497">
        <f t="shared" si="20"/>
        <v>56</v>
      </c>
      <c r="BZ22" s="497">
        <f t="shared" si="14"/>
        <v>33</v>
      </c>
      <c r="CA22" s="497">
        <f t="shared" si="14"/>
        <v>0</v>
      </c>
      <c r="CB22" s="497">
        <f t="shared" si="14"/>
        <v>0</v>
      </c>
      <c r="CC22" s="497">
        <f t="shared" si="14"/>
        <v>0</v>
      </c>
      <c r="CD22" s="497">
        <f t="shared" si="14"/>
        <v>0</v>
      </c>
      <c r="CE22" s="497">
        <f t="shared" si="14"/>
        <v>0</v>
      </c>
      <c r="CF22" s="497">
        <f t="shared" si="14"/>
        <v>0</v>
      </c>
      <c r="CG22" s="497">
        <f t="shared" si="14"/>
        <v>0</v>
      </c>
      <c r="CH22" s="497">
        <f t="shared" si="14"/>
        <v>0</v>
      </c>
      <c r="CI22" s="497">
        <f t="shared" si="14"/>
        <v>0</v>
      </c>
      <c r="CJ22" s="524">
        <f t="shared" si="14"/>
        <v>0</v>
      </c>
      <c r="CK22" s="537" t="s">
        <v>220</v>
      </c>
      <c r="CL22" s="497">
        <f t="shared" si="21"/>
        <v>12</v>
      </c>
      <c r="CM22" s="497">
        <f t="shared" si="15"/>
        <v>9</v>
      </c>
      <c r="CN22" s="497">
        <f t="shared" si="15"/>
        <v>0</v>
      </c>
      <c r="CO22" s="497">
        <f t="shared" si="15"/>
        <v>0</v>
      </c>
      <c r="CP22" s="497">
        <f t="shared" si="15"/>
        <v>0</v>
      </c>
      <c r="CQ22" s="497">
        <f t="shared" si="15"/>
        <v>0</v>
      </c>
      <c r="CR22" s="497">
        <f t="shared" si="15"/>
        <v>0</v>
      </c>
      <c r="CS22" s="497">
        <f t="shared" si="15"/>
        <v>0</v>
      </c>
      <c r="CT22" s="497">
        <f t="shared" si="15"/>
        <v>0</v>
      </c>
      <c r="CU22" s="497">
        <f t="shared" si="15"/>
        <v>0</v>
      </c>
      <c r="CV22" s="497">
        <f t="shared" si="15"/>
        <v>0</v>
      </c>
      <c r="CW22" s="536">
        <f t="shared" si="15"/>
        <v>0</v>
      </c>
      <c r="CX22" s="535" t="s">
        <v>220</v>
      </c>
      <c r="CY22" s="497">
        <v>3000</v>
      </c>
      <c r="CZ22" s="497">
        <v>3000</v>
      </c>
      <c r="DA22" s="497">
        <v>3000</v>
      </c>
      <c r="DB22" s="497">
        <v>3000</v>
      </c>
      <c r="DC22" s="497">
        <v>3000</v>
      </c>
      <c r="DD22" s="497">
        <v>3000</v>
      </c>
      <c r="DE22" s="497">
        <v>3000</v>
      </c>
      <c r="DF22" s="497">
        <v>3000</v>
      </c>
      <c r="DG22" s="497">
        <v>3000</v>
      </c>
      <c r="DH22" s="497">
        <v>3000</v>
      </c>
      <c r="DI22" s="497">
        <v>3000</v>
      </c>
      <c r="DJ22" s="524">
        <v>3000</v>
      </c>
      <c r="DK22" s="537" t="s">
        <v>220</v>
      </c>
      <c r="DL22" s="536">
        <v>20000</v>
      </c>
      <c r="DM22" s="536">
        <v>20000</v>
      </c>
      <c r="DN22" s="536">
        <v>20000</v>
      </c>
      <c r="DO22" s="536">
        <v>20000</v>
      </c>
      <c r="DP22" s="536">
        <v>20000</v>
      </c>
      <c r="DQ22" s="536">
        <v>20000</v>
      </c>
      <c r="DR22" s="536">
        <v>20000</v>
      </c>
      <c r="DS22" s="536">
        <v>20000</v>
      </c>
      <c r="DT22" s="536">
        <v>20000</v>
      </c>
      <c r="DU22" s="536">
        <v>20000</v>
      </c>
      <c r="DV22" s="536">
        <v>20000</v>
      </c>
      <c r="DW22" s="536">
        <v>20000</v>
      </c>
      <c r="DX22" s="535" t="s">
        <v>220</v>
      </c>
      <c r="DY22" s="497">
        <v>15000</v>
      </c>
      <c r="DZ22" s="497">
        <v>15000</v>
      </c>
      <c r="EA22" s="497">
        <v>15000</v>
      </c>
      <c r="EB22" s="497">
        <v>15000</v>
      </c>
      <c r="EC22" s="497">
        <v>15000</v>
      </c>
      <c r="ED22" s="497">
        <v>15000</v>
      </c>
      <c r="EE22" s="497">
        <v>15000</v>
      </c>
      <c r="EF22" s="497">
        <v>15000</v>
      </c>
      <c r="EG22" s="497">
        <v>15000</v>
      </c>
      <c r="EH22" s="497">
        <v>15000</v>
      </c>
      <c r="EI22" s="497">
        <v>15000</v>
      </c>
      <c r="EJ22" s="524">
        <v>15000</v>
      </c>
      <c r="EK22" s="537" t="s">
        <v>220</v>
      </c>
      <c r="EL22" s="497"/>
      <c r="EM22" s="497"/>
      <c r="EN22" s="497"/>
      <c r="EO22" s="497"/>
      <c r="EP22" s="497"/>
      <c r="EQ22" s="497"/>
      <c r="ER22" s="497"/>
      <c r="ES22" s="497"/>
      <c r="ET22" s="497"/>
      <c r="EU22" s="497"/>
      <c r="EV22" s="497"/>
      <c r="EW22" s="536"/>
      <c r="EX22" s="535" t="s">
        <v>220</v>
      </c>
      <c r="EY22" s="497"/>
      <c r="EZ22" s="497"/>
      <c r="FA22" s="497"/>
      <c r="FB22" s="497"/>
      <c r="FC22" s="497"/>
      <c r="FD22" s="497"/>
      <c r="FE22" s="497"/>
      <c r="FF22" s="497"/>
      <c r="FG22" s="497"/>
      <c r="FH22" s="497"/>
      <c r="FI22" s="497"/>
      <c r="FJ22" s="538"/>
      <c r="FK22" s="537" t="s">
        <v>220</v>
      </c>
      <c r="FL22" s="536">
        <v>1500000</v>
      </c>
      <c r="FM22" s="497">
        <v>1600000</v>
      </c>
      <c r="FN22" s="497">
        <v>1600000</v>
      </c>
      <c r="FO22" s="497"/>
      <c r="FP22" s="497"/>
      <c r="FQ22" s="497"/>
      <c r="FR22" s="497"/>
      <c r="FS22" s="497"/>
      <c r="FT22" s="497"/>
      <c r="FU22" s="497"/>
      <c r="FV22" s="497"/>
      <c r="FW22" s="536"/>
      <c r="FX22" s="535" t="s">
        <v>220</v>
      </c>
      <c r="FY22" s="497">
        <f t="shared" si="22"/>
        <v>168000</v>
      </c>
      <c r="FZ22" s="497">
        <f t="shared" si="16"/>
        <v>99000</v>
      </c>
      <c r="GA22" s="497">
        <f t="shared" si="16"/>
        <v>0</v>
      </c>
      <c r="GB22" s="497">
        <f t="shared" si="16"/>
        <v>0</v>
      </c>
      <c r="GC22" s="497">
        <f t="shared" si="16"/>
        <v>0</v>
      </c>
      <c r="GD22" s="497">
        <f t="shared" si="16"/>
        <v>0</v>
      </c>
      <c r="GE22" s="497">
        <f t="shared" si="16"/>
        <v>0</v>
      </c>
      <c r="GF22" s="497">
        <f t="shared" si="16"/>
        <v>0</v>
      </c>
      <c r="GG22" s="497">
        <f t="shared" si="16"/>
        <v>0</v>
      </c>
      <c r="GH22" s="497">
        <f t="shared" si="16"/>
        <v>0</v>
      </c>
      <c r="GI22" s="497">
        <f t="shared" si="16"/>
        <v>0</v>
      </c>
      <c r="GJ22" s="497">
        <f t="shared" si="16"/>
        <v>0</v>
      </c>
      <c r="GK22" s="537" t="s">
        <v>220</v>
      </c>
      <c r="GL22" s="497">
        <f t="shared" si="17"/>
        <v>240000</v>
      </c>
      <c r="GM22" s="497">
        <f t="shared" si="17"/>
        <v>180000</v>
      </c>
      <c r="GN22" s="497">
        <f t="shared" si="17"/>
        <v>0</v>
      </c>
      <c r="GO22" s="497">
        <f t="shared" si="17"/>
        <v>0</v>
      </c>
      <c r="GP22" s="497">
        <f t="shared" si="17"/>
        <v>0</v>
      </c>
      <c r="GQ22" s="497">
        <f t="shared" si="17"/>
        <v>0</v>
      </c>
      <c r="GR22" s="497">
        <f t="shared" si="17"/>
        <v>0</v>
      </c>
      <c r="GS22" s="497">
        <f t="shared" si="17"/>
        <v>0</v>
      </c>
      <c r="GT22" s="497">
        <f t="shared" si="17"/>
        <v>0</v>
      </c>
      <c r="GU22" s="497">
        <f t="shared" si="17"/>
        <v>0</v>
      </c>
      <c r="GV22" s="497">
        <f t="shared" si="17"/>
        <v>0</v>
      </c>
      <c r="GW22" s="497">
        <f t="shared" si="17"/>
        <v>0</v>
      </c>
      <c r="GX22" s="537" t="s">
        <v>220</v>
      </c>
      <c r="GY22" s="173">
        <f>Y35</f>
        <v>1000</v>
      </c>
      <c r="GZ22" s="173">
        <f>U35</f>
        <v>15000</v>
      </c>
      <c r="HA22" s="173">
        <f>V35</f>
        <v>0</v>
      </c>
      <c r="HB22" s="173">
        <f>W35</f>
        <v>0</v>
      </c>
      <c r="HC22" s="534"/>
      <c r="HD22" s="534"/>
    </row>
    <row r="23" spans="1:212" ht="15.75" customHeight="1">
      <c r="A23" s="78">
        <v>15</v>
      </c>
      <c r="B23" s="936" t="s">
        <v>172</v>
      </c>
      <c r="C23" s="921" t="s">
        <v>173</v>
      </c>
      <c r="D23" s="662" t="s">
        <v>128</v>
      </c>
      <c r="E23" s="302">
        <v>8295</v>
      </c>
      <c r="F23" s="302">
        <v>8405</v>
      </c>
      <c r="G23" s="302">
        <v>8474</v>
      </c>
      <c r="H23" s="302"/>
      <c r="I23" s="302"/>
      <c r="J23" s="302"/>
      <c r="K23" s="302"/>
      <c r="L23" s="302"/>
      <c r="M23" s="302"/>
      <c r="N23" s="302"/>
      <c r="O23" s="302"/>
      <c r="P23" s="302"/>
      <c r="Q23" s="305"/>
      <c r="R23" s="90"/>
      <c r="S23" s="90"/>
      <c r="T23" s="90">
        <v>1800</v>
      </c>
      <c r="U23" s="90">
        <v>15000</v>
      </c>
      <c r="V23" s="90">
        <v>20000</v>
      </c>
      <c r="W23" s="90">
        <v>0</v>
      </c>
      <c r="X23" s="21" t="s">
        <v>131</v>
      </c>
      <c r="Y23" s="90">
        <v>500</v>
      </c>
      <c r="Z23" s="90">
        <v>3000</v>
      </c>
      <c r="AA23" s="498" t="s">
        <v>173</v>
      </c>
      <c r="AB23" s="90" t="s">
        <v>132</v>
      </c>
      <c r="AC23" s="534">
        <v>15</v>
      </c>
      <c r="AD23" s="534">
        <v>8</v>
      </c>
      <c r="AE23" s="534"/>
      <c r="AF23" s="534">
        <v>15</v>
      </c>
      <c r="AG23" s="535" t="s">
        <v>226</v>
      </c>
      <c r="AH23" s="535" t="str">
        <f>B37</f>
        <v>Trần Văn Mạnh</v>
      </c>
      <c r="AI23" s="497">
        <v>2226000</v>
      </c>
      <c r="AJ23" s="497">
        <f t="shared" si="0"/>
        <v>2298000</v>
      </c>
      <c r="AK23" s="497">
        <f t="shared" si="1"/>
        <v>2521000</v>
      </c>
      <c r="AL23" s="497">
        <f t="shared" si="2"/>
        <v>0</v>
      </c>
      <c r="AM23" s="497">
        <f t="shared" si="3"/>
        <v>0</v>
      </c>
      <c r="AN23" s="497">
        <f t="shared" si="4"/>
        <v>0</v>
      </c>
      <c r="AO23" s="497">
        <f t="shared" si="5"/>
        <v>0</v>
      </c>
      <c r="AP23" s="497">
        <f t="shared" si="6"/>
        <v>0</v>
      </c>
      <c r="AQ23" s="497">
        <f t="shared" si="7"/>
        <v>0</v>
      </c>
      <c r="AR23" s="497">
        <f t="shared" si="8"/>
        <v>0</v>
      </c>
      <c r="AS23" s="497">
        <f t="shared" si="9"/>
        <v>0</v>
      </c>
      <c r="AT23" s="497">
        <f t="shared" si="10"/>
        <v>0</v>
      </c>
      <c r="AU23" s="536">
        <f t="shared" si="11"/>
        <v>0</v>
      </c>
      <c r="AV23" s="537" t="s">
        <v>226</v>
      </c>
      <c r="AW23" s="497">
        <f t="shared" ref="AW23:BI23" si="47">E37</f>
        <v>11338</v>
      </c>
      <c r="AX23" s="497">
        <f t="shared" si="47"/>
        <v>11479</v>
      </c>
      <c r="AY23" s="497">
        <f t="shared" si="47"/>
        <v>11641</v>
      </c>
      <c r="AZ23" s="497">
        <f t="shared" si="47"/>
        <v>0</v>
      </c>
      <c r="BA23" s="497">
        <f t="shared" si="47"/>
        <v>0</v>
      </c>
      <c r="BB23" s="497">
        <f t="shared" si="47"/>
        <v>0</v>
      </c>
      <c r="BC23" s="497">
        <f t="shared" si="47"/>
        <v>0</v>
      </c>
      <c r="BD23" s="497">
        <f t="shared" si="47"/>
        <v>0</v>
      </c>
      <c r="BE23" s="497">
        <f t="shared" si="47"/>
        <v>0</v>
      </c>
      <c r="BF23" s="497">
        <f t="shared" si="47"/>
        <v>0</v>
      </c>
      <c r="BG23" s="497">
        <f t="shared" si="47"/>
        <v>0</v>
      </c>
      <c r="BH23" s="497">
        <f t="shared" si="47"/>
        <v>0</v>
      </c>
      <c r="BI23" s="524">
        <f t="shared" si="47"/>
        <v>0</v>
      </c>
      <c r="BJ23" s="537" t="s">
        <v>226</v>
      </c>
      <c r="BK23" s="497">
        <f t="shared" ref="BK23:BW23" si="48">E38</f>
        <v>1690</v>
      </c>
      <c r="BL23" s="497">
        <f t="shared" si="48"/>
        <v>1708</v>
      </c>
      <c r="BM23" s="497">
        <f t="shared" si="48"/>
        <v>1729</v>
      </c>
      <c r="BN23" s="497">
        <f t="shared" si="48"/>
        <v>0</v>
      </c>
      <c r="BO23" s="497">
        <f t="shared" si="48"/>
        <v>0</v>
      </c>
      <c r="BP23" s="497">
        <f t="shared" si="48"/>
        <v>0</v>
      </c>
      <c r="BQ23" s="497">
        <f t="shared" si="48"/>
        <v>0</v>
      </c>
      <c r="BR23" s="497">
        <f t="shared" si="48"/>
        <v>0</v>
      </c>
      <c r="BS23" s="497">
        <f t="shared" si="48"/>
        <v>0</v>
      </c>
      <c r="BT23" s="497">
        <f t="shared" si="48"/>
        <v>0</v>
      </c>
      <c r="BU23" s="497">
        <f t="shared" si="48"/>
        <v>0</v>
      </c>
      <c r="BV23" s="497">
        <f t="shared" si="48"/>
        <v>0</v>
      </c>
      <c r="BW23" s="524">
        <f t="shared" si="48"/>
        <v>0</v>
      </c>
      <c r="BX23" s="537" t="s">
        <v>226</v>
      </c>
      <c r="BY23" s="497">
        <f t="shared" si="20"/>
        <v>141</v>
      </c>
      <c r="BZ23" s="497">
        <f t="shared" si="14"/>
        <v>162</v>
      </c>
      <c r="CA23" s="497">
        <f t="shared" si="14"/>
        <v>0</v>
      </c>
      <c r="CB23" s="497">
        <f t="shared" si="14"/>
        <v>0</v>
      </c>
      <c r="CC23" s="497">
        <f t="shared" si="14"/>
        <v>0</v>
      </c>
      <c r="CD23" s="497">
        <f t="shared" si="14"/>
        <v>0</v>
      </c>
      <c r="CE23" s="497">
        <f t="shared" si="14"/>
        <v>0</v>
      </c>
      <c r="CF23" s="497">
        <f t="shared" si="14"/>
        <v>0</v>
      </c>
      <c r="CG23" s="497">
        <f t="shared" si="14"/>
        <v>0</v>
      </c>
      <c r="CH23" s="497">
        <f t="shared" si="14"/>
        <v>0</v>
      </c>
      <c r="CI23" s="497">
        <f t="shared" si="14"/>
        <v>0</v>
      </c>
      <c r="CJ23" s="524">
        <f t="shared" si="14"/>
        <v>0</v>
      </c>
      <c r="CK23" s="537" t="s">
        <v>226</v>
      </c>
      <c r="CL23" s="497">
        <f t="shared" si="21"/>
        <v>18</v>
      </c>
      <c r="CM23" s="497">
        <f t="shared" si="15"/>
        <v>21</v>
      </c>
      <c r="CN23" s="497">
        <f t="shared" si="15"/>
        <v>0</v>
      </c>
      <c r="CO23" s="497">
        <f t="shared" si="15"/>
        <v>0</v>
      </c>
      <c r="CP23" s="497">
        <f t="shared" si="15"/>
        <v>0</v>
      </c>
      <c r="CQ23" s="497">
        <f t="shared" si="15"/>
        <v>0</v>
      </c>
      <c r="CR23" s="497">
        <f t="shared" si="15"/>
        <v>0</v>
      </c>
      <c r="CS23" s="497">
        <f t="shared" si="15"/>
        <v>0</v>
      </c>
      <c r="CT23" s="497">
        <f t="shared" si="15"/>
        <v>0</v>
      </c>
      <c r="CU23" s="497">
        <f t="shared" si="15"/>
        <v>0</v>
      </c>
      <c r="CV23" s="497">
        <f t="shared" si="15"/>
        <v>0</v>
      </c>
      <c r="CW23" s="536">
        <f t="shared" si="15"/>
        <v>0</v>
      </c>
      <c r="CX23" s="535" t="s">
        <v>226</v>
      </c>
      <c r="CY23" s="497">
        <v>3000</v>
      </c>
      <c r="CZ23" s="497">
        <v>3000</v>
      </c>
      <c r="DA23" s="497">
        <v>3000</v>
      </c>
      <c r="DB23" s="497">
        <v>3000</v>
      </c>
      <c r="DC23" s="497">
        <v>3000</v>
      </c>
      <c r="DD23" s="497">
        <v>3000</v>
      </c>
      <c r="DE23" s="497">
        <v>3000</v>
      </c>
      <c r="DF23" s="497">
        <v>3000</v>
      </c>
      <c r="DG23" s="497">
        <v>3000</v>
      </c>
      <c r="DH23" s="497">
        <v>3000</v>
      </c>
      <c r="DI23" s="497">
        <v>3000</v>
      </c>
      <c r="DJ23" s="524">
        <v>3000</v>
      </c>
      <c r="DK23" s="537" t="s">
        <v>226</v>
      </c>
      <c r="DL23" s="536">
        <v>20000</v>
      </c>
      <c r="DM23" s="536">
        <v>20000</v>
      </c>
      <c r="DN23" s="536">
        <v>20000</v>
      </c>
      <c r="DO23" s="536">
        <v>20000</v>
      </c>
      <c r="DP23" s="536">
        <v>20000</v>
      </c>
      <c r="DQ23" s="536">
        <v>20000</v>
      </c>
      <c r="DR23" s="536">
        <v>20000</v>
      </c>
      <c r="DS23" s="536">
        <v>20000</v>
      </c>
      <c r="DT23" s="536">
        <v>20000</v>
      </c>
      <c r="DU23" s="536">
        <v>20000</v>
      </c>
      <c r="DV23" s="536">
        <v>20000</v>
      </c>
      <c r="DW23" s="536">
        <v>20000</v>
      </c>
      <c r="DX23" s="535" t="s">
        <v>226</v>
      </c>
      <c r="DY23" s="497">
        <v>15000</v>
      </c>
      <c r="DZ23" s="497">
        <v>15000</v>
      </c>
      <c r="EA23" s="497">
        <v>15000</v>
      </c>
      <c r="EB23" s="497">
        <v>15000</v>
      </c>
      <c r="EC23" s="497">
        <v>15000</v>
      </c>
      <c r="ED23" s="497">
        <v>15000</v>
      </c>
      <c r="EE23" s="497">
        <v>15000</v>
      </c>
      <c r="EF23" s="497">
        <v>15000</v>
      </c>
      <c r="EG23" s="497">
        <v>15000</v>
      </c>
      <c r="EH23" s="497">
        <v>15000</v>
      </c>
      <c r="EI23" s="497">
        <v>15000</v>
      </c>
      <c r="EJ23" s="524">
        <v>15000</v>
      </c>
      <c r="EK23" s="537" t="s">
        <v>226</v>
      </c>
      <c r="EL23" s="497"/>
      <c r="EM23" s="497"/>
      <c r="EN23" s="497"/>
      <c r="EO23" s="497"/>
      <c r="EP23" s="497"/>
      <c r="EQ23" s="497"/>
      <c r="ER23" s="497"/>
      <c r="ES23" s="497"/>
      <c r="ET23" s="497"/>
      <c r="EU23" s="497"/>
      <c r="EV23" s="497"/>
      <c r="EW23" s="536"/>
      <c r="EX23" s="535" t="s">
        <v>226</v>
      </c>
      <c r="EY23" s="497"/>
      <c r="EZ23" s="497"/>
      <c r="FA23" s="497"/>
      <c r="FB23" s="497"/>
      <c r="FC23" s="497"/>
      <c r="FD23" s="497"/>
      <c r="FE23" s="497"/>
      <c r="FF23" s="497"/>
      <c r="FG23" s="497"/>
      <c r="FH23" s="497"/>
      <c r="FI23" s="497"/>
      <c r="FJ23" s="538"/>
      <c r="FK23" s="537" t="s">
        <v>226</v>
      </c>
      <c r="FL23" s="536">
        <v>1500000</v>
      </c>
      <c r="FM23" s="497">
        <v>1600000</v>
      </c>
      <c r="FN23" s="497">
        <v>1600000</v>
      </c>
      <c r="FO23" s="497"/>
      <c r="FP23" s="497"/>
      <c r="FQ23" s="497"/>
      <c r="FR23" s="497"/>
      <c r="FS23" s="497"/>
      <c r="FT23" s="497"/>
      <c r="FU23" s="497"/>
      <c r="FV23" s="497"/>
      <c r="FW23" s="536"/>
      <c r="FX23" s="535" t="s">
        <v>226</v>
      </c>
      <c r="FY23" s="497">
        <f t="shared" si="22"/>
        <v>423000</v>
      </c>
      <c r="FZ23" s="497">
        <f t="shared" si="16"/>
        <v>486000</v>
      </c>
      <c r="GA23" s="497">
        <f t="shared" si="16"/>
        <v>0</v>
      </c>
      <c r="GB23" s="497">
        <f t="shared" si="16"/>
        <v>0</v>
      </c>
      <c r="GC23" s="497">
        <f t="shared" si="16"/>
        <v>0</v>
      </c>
      <c r="GD23" s="497">
        <f t="shared" si="16"/>
        <v>0</v>
      </c>
      <c r="GE23" s="497">
        <f t="shared" si="16"/>
        <v>0</v>
      </c>
      <c r="GF23" s="497">
        <f t="shared" si="16"/>
        <v>0</v>
      </c>
      <c r="GG23" s="497">
        <f t="shared" si="16"/>
        <v>0</v>
      </c>
      <c r="GH23" s="497">
        <f t="shared" si="16"/>
        <v>0</v>
      </c>
      <c r="GI23" s="497">
        <f t="shared" si="16"/>
        <v>0</v>
      </c>
      <c r="GJ23" s="497">
        <f t="shared" si="16"/>
        <v>0</v>
      </c>
      <c r="GK23" s="537" t="s">
        <v>226</v>
      </c>
      <c r="GL23" s="497">
        <f t="shared" si="17"/>
        <v>360000</v>
      </c>
      <c r="GM23" s="497">
        <f t="shared" si="17"/>
        <v>420000</v>
      </c>
      <c r="GN23" s="497">
        <f t="shared" si="17"/>
        <v>0</v>
      </c>
      <c r="GO23" s="497">
        <f t="shared" si="17"/>
        <v>0</v>
      </c>
      <c r="GP23" s="497">
        <f t="shared" si="17"/>
        <v>0</v>
      </c>
      <c r="GQ23" s="497">
        <f t="shared" si="17"/>
        <v>0</v>
      </c>
      <c r="GR23" s="497">
        <f t="shared" si="17"/>
        <v>0</v>
      </c>
      <c r="GS23" s="497">
        <f t="shared" si="17"/>
        <v>0</v>
      </c>
      <c r="GT23" s="497">
        <f t="shared" si="17"/>
        <v>0</v>
      </c>
      <c r="GU23" s="497">
        <f t="shared" si="17"/>
        <v>0</v>
      </c>
      <c r="GV23" s="497">
        <f t="shared" si="17"/>
        <v>0</v>
      </c>
      <c r="GW23" s="497">
        <f t="shared" si="17"/>
        <v>0</v>
      </c>
      <c r="GX23" s="537" t="s">
        <v>226</v>
      </c>
      <c r="GY23" s="173">
        <f>Y37</f>
        <v>500</v>
      </c>
      <c r="GZ23" s="173">
        <f>U37</f>
        <v>15000</v>
      </c>
      <c r="HA23" s="173">
        <f>V37</f>
        <v>0</v>
      </c>
      <c r="HB23" s="173">
        <f>W37</f>
        <v>0</v>
      </c>
      <c r="HC23" s="530"/>
      <c r="HD23" s="534"/>
    </row>
    <row r="24" spans="1:212" ht="15.75" customHeight="1">
      <c r="A24" s="95">
        <v>16</v>
      </c>
      <c r="B24" s="935"/>
      <c r="C24" s="920"/>
      <c r="D24" s="662" t="s">
        <v>139</v>
      </c>
      <c r="E24" s="302">
        <v>1014</v>
      </c>
      <c r="F24" s="302">
        <v>1023</v>
      </c>
      <c r="G24" s="302">
        <v>1031</v>
      </c>
      <c r="H24" s="302"/>
      <c r="I24" s="302"/>
      <c r="J24" s="302"/>
      <c r="K24" s="302"/>
      <c r="L24" s="302"/>
      <c r="M24" s="302"/>
      <c r="N24" s="302"/>
      <c r="O24" s="302"/>
      <c r="P24" s="302"/>
      <c r="Q24" s="305"/>
      <c r="R24" s="90"/>
      <c r="S24" s="90"/>
      <c r="T24" s="90"/>
      <c r="U24" s="90"/>
      <c r="V24" s="90"/>
      <c r="W24" s="90"/>
      <c r="X24" s="21"/>
      <c r="Y24" s="90"/>
      <c r="Z24" s="90">
        <v>20000</v>
      </c>
      <c r="AA24" s="498" t="s">
        <v>173</v>
      </c>
      <c r="AB24" s="90" t="s">
        <v>132</v>
      </c>
      <c r="AC24" s="534">
        <v>16</v>
      </c>
      <c r="AD24" s="534"/>
      <c r="AE24" s="534">
        <v>8</v>
      </c>
      <c r="AF24" s="534">
        <v>16</v>
      </c>
      <c r="AG24" s="535" t="s">
        <v>234</v>
      </c>
      <c r="AH24" s="535" t="str">
        <f>B39</f>
        <v>Từ Minh Trí</v>
      </c>
      <c r="AI24" s="497">
        <v>1788000</v>
      </c>
      <c r="AJ24" s="497">
        <f t="shared" si="0"/>
        <v>1817000</v>
      </c>
      <c r="AK24" s="497">
        <f t="shared" si="1"/>
        <v>1985000</v>
      </c>
      <c r="AL24" s="497">
        <f t="shared" si="2"/>
        <v>0</v>
      </c>
      <c r="AM24" s="497">
        <f t="shared" si="3"/>
        <v>0</v>
      </c>
      <c r="AN24" s="497">
        <f t="shared" si="4"/>
        <v>0</v>
      </c>
      <c r="AO24" s="497">
        <f t="shared" si="5"/>
        <v>0</v>
      </c>
      <c r="AP24" s="497">
        <f t="shared" si="6"/>
        <v>0</v>
      </c>
      <c r="AQ24" s="497">
        <f t="shared" si="7"/>
        <v>0</v>
      </c>
      <c r="AR24" s="497">
        <f t="shared" si="8"/>
        <v>0</v>
      </c>
      <c r="AS24" s="497">
        <f t="shared" si="9"/>
        <v>0</v>
      </c>
      <c r="AT24" s="497">
        <f t="shared" si="10"/>
        <v>0</v>
      </c>
      <c r="AU24" s="536">
        <f t="shared" si="11"/>
        <v>0</v>
      </c>
      <c r="AV24" s="537" t="s">
        <v>234</v>
      </c>
      <c r="AW24" s="497">
        <f t="shared" ref="AW24:BI24" si="49">E39</f>
        <v>7651</v>
      </c>
      <c r="AX24" s="497">
        <f t="shared" si="49"/>
        <v>7705</v>
      </c>
      <c r="AY24" s="497">
        <f t="shared" si="49"/>
        <v>7775</v>
      </c>
      <c r="AZ24" s="497">
        <f t="shared" si="49"/>
        <v>0</v>
      </c>
      <c r="BA24" s="497">
        <f t="shared" si="49"/>
        <v>0</v>
      </c>
      <c r="BB24" s="497">
        <f t="shared" si="49"/>
        <v>0</v>
      </c>
      <c r="BC24" s="497">
        <f t="shared" si="49"/>
        <v>0</v>
      </c>
      <c r="BD24" s="497">
        <f t="shared" si="49"/>
        <v>0</v>
      </c>
      <c r="BE24" s="497">
        <f t="shared" si="49"/>
        <v>0</v>
      </c>
      <c r="BF24" s="497">
        <f t="shared" si="49"/>
        <v>0</v>
      </c>
      <c r="BG24" s="497">
        <f t="shared" si="49"/>
        <v>0</v>
      </c>
      <c r="BH24" s="497">
        <f t="shared" si="49"/>
        <v>0</v>
      </c>
      <c r="BI24" s="524">
        <f t="shared" si="49"/>
        <v>0</v>
      </c>
      <c r="BJ24" s="537" t="s">
        <v>234</v>
      </c>
      <c r="BK24" s="497">
        <f t="shared" ref="BK24:BW24" si="50">E40</f>
        <v>851</v>
      </c>
      <c r="BL24" s="497">
        <f t="shared" si="50"/>
        <v>858</v>
      </c>
      <c r="BM24" s="497">
        <f t="shared" si="50"/>
        <v>866</v>
      </c>
      <c r="BN24" s="497">
        <f t="shared" si="50"/>
        <v>0</v>
      </c>
      <c r="BO24" s="497">
        <f t="shared" si="50"/>
        <v>0</v>
      </c>
      <c r="BP24" s="497">
        <f t="shared" si="50"/>
        <v>0</v>
      </c>
      <c r="BQ24" s="497">
        <f t="shared" si="50"/>
        <v>0</v>
      </c>
      <c r="BR24" s="497">
        <f t="shared" si="50"/>
        <v>0</v>
      </c>
      <c r="BS24" s="497">
        <f t="shared" si="50"/>
        <v>0</v>
      </c>
      <c r="BT24" s="497">
        <f t="shared" si="50"/>
        <v>0</v>
      </c>
      <c r="BU24" s="497">
        <f t="shared" si="50"/>
        <v>0</v>
      </c>
      <c r="BV24" s="497">
        <f t="shared" si="50"/>
        <v>0</v>
      </c>
      <c r="BW24" s="524">
        <f t="shared" si="50"/>
        <v>0</v>
      </c>
      <c r="BX24" s="537" t="s">
        <v>234</v>
      </c>
      <c r="BY24" s="497">
        <f t="shared" si="20"/>
        <v>54</v>
      </c>
      <c r="BZ24" s="497">
        <f t="shared" si="14"/>
        <v>70</v>
      </c>
      <c r="CA24" s="497">
        <f t="shared" si="14"/>
        <v>0</v>
      </c>
      <c r="CB24" s="497">
        <f t="shared" si="14"/>
        <v>0</v>
      </c>
      <c r="CC24" s="497">
        <f t="shared" si="14"/>
        <v>0</v>
      </c>
      <c r="CD24" s="497">
        <f t="shared" si="14"/>
        <v>0</v>
      </c>
      <c r="CE24" s="497">
        <f t="shared" si="14"/>
        <v>0</v>
      </c>
      <c r="CF24" s="497">
        <f t="shared" si="14"/>
        <v>0</v>
      </c>
      <c r="CG24" s="497">
        <f t="shared" si="14"/>
        <v>0</v>
      </c>
      <c r="CH24" s="497">
        <f t="shared" si="14"/>
        <v>0</v>
      </c>
      <c r="CI24" s="497">
        <f t="shared" si="14"/>
        <v>0</v>
      </c>
      <c r="CJ24" s="524">
        <f t="shared" si="14"/>
        <v>0</v>
      </c>
      <c r="CK24" s="537" t="s">
        <v>234</v>
      </c>
      <c r="CL24" s="497">
        <f t="shared" si="21"/>
        <v>7</v>
      </c>
      <c r="CM24" s="497">
        <f t="shared" si="15"/>
        <v>8</v>
      </c>
      <c r="CN24" s="497">
        <f t="shared" si="15"/>
        <v>0</v>
      </c>
      <c r="CO24" s="497">
        <f t="shared" si="15"/>
        <v>0</v>
      </c>
      <c r="CP24" s="497">
        <f t="shared" si="15"/>
        <v>0</v>
      </c>
      <c r="CQ24" s="497">
        <f t="shared" si="15"/>
        <v>0</v>
      </c>
      <c r="CR24" s="497">
        <f t="shared" si="15"/>
        <v>0</v>
      </c>
      <c r="CS24" s="497">
        <f t="shared" si="15"/>
        <v>0</v>
      </c>
      <c r="CT24" s="497">
        <f t="shared" si="15"/>
        <v>0</v>
      </c>
      <c r="CU24" s="497">
        <f t="shared" si="15"/>
        <v>0</v>
      </c>
      <c r="CV24" s="497">
        <f t="shared" si="15"/>
        <v>0</v>
      </c>
      <c r="CW24" s="536">
        <f t="shared" si="15"/>
        <v>0</v>
      </c>
      <c r="CX24" s="535" t="s">
        <v>234</v>
      </c>
      <c r="CY24" s="497">
        <v>3000</v>
      </c>
      <c r="CZ24" s="497">
        <v>3000</v>
      </c>
      <c r="DA24" s="497">
        <v>3000</v>
      </c>
      <c r="DB24" s="497">
        <v>3000</v>
      </c>
      <c r="DC24" s="497">
        <v>3000</v>
      </c>
      <c r="DD24" s="497">
        <v>3000</v>
      </c>
      <c r="DE24" s="497">
        <v>3000</v>
      </c>
      <c r="DF24" s="497">
        <v>3000</v>
      </c>
      <c r="DG24" s="497">
        <v>3000</v>
      </c>
      <c r="DH24" s="497">
        <v>3000</v>
      </c>
      <c r="DI24" s="497">
        <v>3000</v>
      </c>
      <c r="DJ24" s="524">
        <v>3000</v>
      </c>
      <c r="DK24" s="537" t="s">
        <v>234</v>
      </c>
      <c r="DL24" s="536">
        <v>20000</v>
      </c>
      <c r="DM24" s="536">
        <v>20000</v>
      </c>
      <c r="DN24" s="536">
        <v>20000</v>
      </c>
      <c r="DO24" s="536">
        <v>20000</v>
      </c>
      <c r="DP24" s="536">
        <v>20000</v>
      </c>
      <c r="DQ24" s="536">
        <v>20000</v>
      </c>
      <c r="DR24" s="536">
        <v>20000</v>
      </c>
      <c r="DS24" s="536">
        <v>20000</v>
      </c>
      <c r="DT24" s="536">
        <v>20000</v>
      </c>
      <c r="DU24" s="536">
        <v>20000</v>
      </c>
      <c r="DV24" s="536">
        <v>20000</v>
      </c>
      <c r="DW24" s="536">
        <v>20000</v>
      </c>
      <c r="DX24" s="535" t="s">
        <v>234</v>
      </c>
      <c r="DY24" s="497">
        <v>15000</v>
      </c>
      <c r="DZ24" s="497">
        <v>15000</v>
      </c>
      <c r="EA24" s="497">
        <v>15000</v>
      </c>
      <c r="EB24" s="497">
        <v>15000</v>
      </c>
      <c r="EC24" s="497">
        <v>15000</v>
      </c>
      <c r="ED24" s="497">
        <v>15000</v>
      </c>
      <c r="EE24" s="497">
        <v>15000</v>
      </c>
      <c r="EF24" s="497">
        <v>15000</v>
      </c>
      <c r="EG24" s="497">
        <v>15000</v>
      </c>
      <c r="EH24" s="497">
        <v>15000</v>
      </c>
      <c r="EI24" s="497">
        <v>15000</v>
      </c>
      <c r="EJ24" s="524">
        <v>15000</v>
      </c>
      <c r="EK24" s="537" t="s">
        <v>234</v>
      </c>
      <c r="EL24" s="497"/>
      <c r="EM24" s="497"/>
      <c r="EN24" s="497"/>
      <c r="EO24" s="497"/>
      <c r="EP24" s="497"/>
      <c r="EQ24" s="497"/>
      <c r="ER24" s="497"/>
      <c r="ES24" s="497"/>
      <c r="ET24" s="497"/>
      <c r="EU24" s="497"/>
      <c r="EV24" s="497"/>
      <c r="EW24" s="536"/>
      <c r="EX24" s="535" t="s">
        <v>234</v>
      </c>
      <c r="EY24" s="497"/>
      <c r="EZ24" s="497"/>
      <c r="FA24" s="497"/>
      <c r="FB24" s="497"/>
      <c r="FC24" s="497"/>
      <c r="FD24" s="497"/>
      <c r="FE24" s="497"/>
      <c r="FF24" s="497"/>
      <c r="FG24" s="497"/>
      <c r="FH24" s="497"/>
      <c r="FI24" s="497"/>
      <c r="FJ24" s="538"/>
      <c r="FK24" s="537" t="s">
        <v>234</v>
      </c>
      <c r="FL24" s="536">
        <v>1500000</v>
      </c>
      <c r="FM24" s="497">
        <v>1600000</v>
      </c>
      <c r="FN24" s="497">
        <v>1600000</v>
      </c>
      <c r="FO24" s="497"/>
      <c r="FP24" s="497"/>
      <c r="FQ24" s="497"/>
      <c r="FR24" s="497"/>
      <c r="FS24" s="497"/>
      <c r="FT24" s="497"/>
      <c r="FU24" s="497"/>
      <c r="FV24" s="497"/>
      <c r="FW24" s="536"/>
      <c r="FX24" s="535" t="s">
        <v>234</v>
      </c>
      <c r="FY24" s="497">
        <f t="shared" si="22"/>
        <v>162000</v>
      </c>
      <c r="FZ24" s="497">
        <f t="shared" si="16"/>
        <v>210000</v>
      </c>
      <c r="GA24" s="497">
        <f t="shared" si="16"/>
        <v>0</v>
      </c>
      <c r="GB24" s="497">
        <f t="shared" si="16"/>
        <v>0</v>
      </c>
      <c r="GC24" s="497">
        <f t="shared" si="16"/>
        <v>0</v>
      </c>
      <c r="GD24" s="497">
        <f t="shared" si="16"/>
        <v>0</v>
      </c>
      <c r="GE24" s="497">
        <f t="shared" si="16"/>
        <v>0</v>
      </c>
      <c r="GF24" s="497">
        <f t="shared" si="16"/>
        <v>0</v>
      </c>
      <c r="GG24" s="497">
        <f t="shared" si="16"/>
        <v>0</v>
      </c>
      <c r="GH24" s="497">
        <f t="shared" si="16"/>
        <v>0</v>
      </c>
      <c r="GI24" s="497">
        <f t="shared" si="16"/>
        <v>0</v>
      </c>
      <c r="GJ24" s="497">
        <f t="shared" si="16"/>
        <v>0</v>
      </c>
      <c r="GK24" s="537" t="s">
        <v>234</v>
      </c>
      <c r="GL24" s="497">
        <f t="shared" si="17"/>
        <v>140000</v>
      </c>
      <c r="GM24" s="497">
        <f t="shared" si="17"/>
        <v>160000</v>
      </c>
      <c r="GN24" s="497">
        <f t="shared" si="17"/>
        <v>0</v>
      </c>
      <c r="GO24" s="497">
        <f t="shared" si="17"/>
        <v>0</v>
      </c>
      <c r="GP24" s="497">
        <f t="shared" si="17"/>
        <v>0</v>
      </c>
      <c r="GQ24" s="497">
        <f t="shared" si="17"/>
        <v>0</v>
      </c>
      <c r="GR24" s="497">
        <f t="shared" si="17"/>
        <v>0</v>
      </c>
      <c r="GS24" s="497">
        <f t="shared" si="17"/>
        <v>0</v>
      </c>
      <c r="GT24" s="497">
        <f t="shared" si="17"/>
        <v>0</v>
      </c>
      <c r="GU24" s="497">
        <f t="shared" si="17"/>
        <v>0</v>
      </c>
      <c r="GV24" s="497">
        <f t="shared" si="17"/>
        <v>0</v>
      </c>
      <c r="GW24" s="497">
        <f t="shared" si="17"/>
        <v>0</v>
      </c>
      <c r="GX24" s="537" t="s">
        <v>234</v>
      </c>
      <c r="GY24" s="173">
        <f>Y39</f>
        <v>1000</v>
      </c>
      <c r="GZ24" s="173">
        <f>U39</f>
        <v>15000</v>
      </c>
      <c r="HA24" s="173">
        <f>V39</f>
        <v>0</v>
      </c>
      <c r="HB24" s="173">
        <f>W39</f>
        <v>0</v>
      </c>
      <c r="HC24" s="534"/>
      <c r="HD24" s="534"/>
    </row>
    <row r="25" spans="1:212" ht="15.75" customHeight="1">
      <c r="A25" s="78">
        <v>17</v>
      </c>
      <c r="B25" s="934" t="s">
        <v>178</v>
      </c>
      <c r="C25" s="919" t="s">
        <v>179</v>
      </c>
      <c r="D25" s="660" t="s">
        <v>128</v>
      </c>
      <c r="E25" s="661">
        <v>14236</v>
      </c>
      <c r="F25" s="661">
        <v>14448</v>
      </c>
      <c r="G25" s="661">
        <v>14652</v>
      </c>
      <c r="H25" s="661"/>
      <c r="I25" s="661"/>
      <c r="J25" s="661"/>
      <c r="K25" s="661"/>
      <c r="L25" s="661"/>
      <c r="M25" s="661"/>
      <c r="N25" s="661"/>
      <c r="O25" s="661"/>
      <c r="P25" s="661"/>
      <c r="Q25" s="666"/>
      <c r="R25" s="89"/>
      <c r="S25" s="90"/>
      <c r="T25" s="90">
        <v>1800</v>
      </c>
      <c r="U25" s="90">
        <v>15000</v>
      </c>
      <c r="V25" s="90">
        <v>20000</v>
      </c>
      <c r="W25" s="90">
        <v>0</v>
      </c>
      <c r="X25" s="21" t="s">
        <v>131</v>
      </c>
      <c r="Y25" s="90">
        <v>500</v>
      </c>
      <c r="Z25" s="90">
        <v>3000</v>
      </c>
      <c r="AA25" s="498" t="s">
        <v>179</v>
      </c>
      <c r="AB25" s="90" t="s">
        <v>132</v>
      </c>
      <c r="AC25" s="534">
        <v>17</v>
      </c>
      <c r="AD25" s="530">
        <v>9</v>
      </c>
      <c r="AE25" s="534"/>
      <c r="AF25" s="534">
        <v>17</v>
      </c>
      <c r="AG25" s="535" t="s">
        <v>241</v>
      </c>
      <c r="AH25" s="535" t="str">
        <f>B41</f>
        <v>Nông Quốc Thịnh</v>
      </c>
      <c r="AI25" s="497">
        <v>1795000</v>
      </c>
      <c r="AJ25" s="497">
        <f t="shared" si="0"/>
        <v>1803000</v>
      </c>
      <c r="AK25" s="497">
        <f t="shared" si="1"/>
        <v>1803000</v>
      </c>
      <c r="AL25" s="497">
        <f t="shared" si="2"/>
        <v>0</v>
      </c>
      <c r="AM25" s="497">
        <f t="shared" si="3"/>
        <v>0</v>
      </c>
      <c r="AN25" s="497">
        <f t="shared" si="4"/>
        <v>0</v>
      </c>
      <c r="AO25" s="497">
        <f t="shared" si="5"/>
        <v>0</v>
      </c>
      <c r="AP25" s="497">
        <f t="shared" si="6"/>
        <v>0</v>
      </c>
      <c r="AQ25" s="497">
        <f t="shared" si="7"/>
        <v>0</v>
      </c>
      <c r="AR25" s="497">
        <f t="shared" si="8"/>
        <v>0</v>
      </c>
      <c r="AS25" s="497">
        <f t="shared" si="9"/>
        <v>0</v>
      </c>
      <c r="AT25" s="497">
        <f t="shared" si="10"/>
        <v>0</v>
      </c>
      <c r="AU25" s="536">
        <f t="shared" si="11"/>
        <v>0</v>
      </c>
      <c r="AV25" s="537" t="s">
        <v>241</v>
      </c>
      <c r="AW25" s="497">
        <f t="shared" ref="AW25:BI25" si="51">E41</f>
        <v>6801</v>
      </c>
      <c r="AX25" s="497">
        <f t="shared" si="51"/>
        <v>6857</v>
      </c>
      <c r="AY25" s="497">
        <f t="shared" si="51"/>
        <v>6893</v>
      </c>
      <c r="AZ25" s="497">
        <f t="shared" si="51"/>
        <v>0</v>
      </c>
      <c r="BA25" s="497">
        <f t="shared" si="51"/>
        <v>0</v>
      </c>
      <c r="BB25" s="497">
        <f t="shared" si="51"/>
        <v>0</v>
      </c>
      <c r="BC25" s="497">
        <f t="shared" si="51"/>
        <v>0</v>
      </c>
      <c r="BD25" s="497">
        <f t="shared" si="51"/>
        <v>0</v>
      </c>
      <c r="BE25" s="497">
        <f t="shared" si="51"/>
        <v>0</v>
      </c>
      <c r="BF25" s="497">
        <f t="shared" si="51"/>
        <v>0</v>
      </c>
      <c r="BG25" s="497">
        <f t="shared" si="51"/>
        <v>0</v>
      </c>
      <c r="BH25" s="497">
        <f t="shared" si="51"/>
        <v>0</v>
      </c>
      <c r="BI25" s="524">
        <f t="shared" si="51"/>
        <v>0</v>
      </c>
      <c r="BJ25" s="537" t="s">
        <v>241</v>
      </c>
      <c r="BK25" s="497">
        <f t="shared" ref="BK25:BW25" si="52">E42</f>
        <v>492</v>
      </c>
      <c r="BL25" s="497">
        <f t="shared" si="52"/>
        <v>498</v>
      </c>
      <c r="BM25" s="497">
        <f t="shared" si="52"/>
        <v>502</v>
      </c>
      <c r="BN25" s="497">
        <f t="shared" si="52"/>
        <v>0</v>
      </c>
      <c r="BO25" s="497">
        <f t="shared" si="52"/>
        <v>0</v>
      </c>
      <c r="BP25" s="497">
        <f t="shared" si="52"/>
        <v>0</v>
      </c>
      <c r="BQ25" s="497">
        <f t="shared" si="52"/>
        <v>0</v>
      </c>
      <c r="BR25" s="497">
        <f t="shared" si="52"/>
        <v>0</v>
      </c>
      <c r="BS25" s="497">
        <f t="shared" si="52"/>
        <v>0</v>
      </c>
      <c r="BT25" s="497">
        <f t="shared" si="52"/>
        <v>0</v>
      </c>
      <c r="BU25" s="497">
        <f t="shared" si="52"/>
        <v>0</v>
      </c>
      <c r="BV25" s="497">
        <f t="shared" si="52"/>
        <v>0</v>
      </c>
      <c r="BW25" s="524">
        <f t="shared" si="52"/>
        <v>0</v>
      </c>
      <c r="BX25" s="537" t="s">
        <v>241</v>
      </c>
      <c r="BY25" s="497">
        <f t="shared" si="20"/>
        <v>56</v>
      </c>
      <c r="BZ25" s="497">
        <f t="shared" si="20"/>
        <v>36</v>
      </c>
      <c r="CA25" s="497">
        <f t="shared" si="20"/>
        <v>0</v>
      </c>
      <c r="CB25" s="497">
        <f t="shared" si="20"/>
        <v>0</v>
      </c>
      <c r="CC25" s="497">
        <f t="shared" si="20"/>
        <v>0</v>
      </c>
      <c r="CD25" s="497">
        <f t="shared" si="20"/>
        <v>0</v>
      </c>
      <c r="CE25" s="497">
        <f t="shared" si="20"/>
        <v>0</v>
      </c>
      <c r="CF25" s="497">
        <f t="shared" si="20"/>
        <v>0</v>
      </c>
      <c r="CG25" s="497">
        <f t="shared" si="20"/>
        <v>0</v>
      </c>
      <c r="CH25" s="497">
        <f t="shared" si="20"/>
        <v>0</v>
      </c>
      <c r="CI25" s="497">
        <f t="shared" si="20"/>
        <v>0</v>
      </c>
      <c r="CJ25" s="524">
        <f t="shared" si="20"/>
        <v>0</v>
      </c>
      <c r="CK25" s="537" t="s">
        <v>241</v>
      </c>
      <c r="CL25" s="497">
        <f t="shared" si="21"/>
        <v>6</v>
      </c>
      <c r="CM25" s="497">
        <f t="shared" si="21"/>
        <v>4</v>
      </c>
      <c r="CN25" s="497">
        <f t="shared" si="21"/>
        <v>0</v>
      </c>
      <c r="CO25" s="497">
        <f t="shared" si="21"/>
        <v>0</v>
      </c>
      <c r="CP25" s="497">
        <f t="shared" si="21"/>
        <v>0</v>
      </c>
      <c r="CQ25" s="497">
        <f t="shared" si="21"/>
        <v>0</v>
      </c>
      <c r="CR25" s="497">
        <f t="shared" si="21"/>
        <v>0</v>
      </c>
      <c r="CS25" s="497">
        <f t="shared" si="21"/>
        <v>0</v>
      </c>
      <c r="CT25" s="497">
        <f t="shared" si="21"/>
        <v>0</v>
      </c>
      <c r="CU25" s="497">
        <f t="shared" si="21"/>
        <v>0</v>
      </c>
      <c r="CV25" s="497">
        <f t="shared" si="21"/>
        <v>0</v>
      </c>
      <c r="CW25" s="536">
        <f t="shared" si="21"/>
        <v>0</v>
      </c>
      <c r="CX25" s="535" t="s">
        <v>241</v>
      </c>
      <c r="CY25" s="497">
        <v>3000</v>
      </c>
      <c r="CZ25" s="497">
        <v>3000</v>
      </c>
      <c r="DA25" s="497">
        <v>3000</v>
      </c>
      <c r="DB25" s="497">
        <v>3000</v>
      </c>
      <c r="DC25" s="497">
        <v>3000</v>
      </c>
      <c r="DD25" s="497">
        <v>3000</v>
      </c>
      <c r="DE25" s="497">
        <v>3000</v>
      </c>
      <c r="DF25" s="497">
        <v>3000</v>
      </c>
      <c r="DG25" s="497">
        <v>3000</v>
      </c>
      <c r="DH25" s="497">
        <v>3000</v>
      </c>
      <c r="DI25" s="497">
        <v>3000</v>
      </c>
      <c r="DJ25" s="524">
        <v>3000</v>
      </c>
      <c r="DK25" s="537" t="s">
        <v>241</v>
      </c>
      <c r="DL25" s="536">
        <v>20000</v>
      </c>
      <c r="DM25" s="536">
        <v>20000</v>
      </c>
      <c r="DN25" s="536">
        <v>20000</v>
      </c>
      <c r="DO25" s="536">
        <v>20000</v>
      </c>
      <c r="DP25" s="536">
        <v>20000</v>
      </c>
      <c r="DQ25" s="536">
        <v>20000</v>
      </c>
      <c r="DR25" s="536">
        <v>20000</v>
      </c>
      <c r="DS25" s="536">
        <v>20000</v>
      </c>
      <c r="DT25" s="536">
        <v>20000</v>
      </c>
      <c r="DU25" s="536">
        <v>20000</v>
      </c>
      <c r="DV25" s="536">
        <v>20000</v>
      </c>
      <c r="DW25" s="536">
        <v>20000</v>
      </c>
      <c r="DX25" s="535" t="s">
        <v>241</v>
      </c>
      <c r="DY25" s="497">
        <v>15000</v>
      </c>
      <c r="DZ25" s="497">
        <v>15000</v>
      </c>
      <c r="EA25" s="497">
        <v>15000</v>
      </c>
      <c r="EB25" s="497">
        <v>15000</v>
      </c>
      <c r="EC25" s="497">
        <v>15000</v>
      </c>
      <c r="ED25" s="497">
        <v>15000</v>
      </c>
      <c r="EE25" s="497">
        <v>15000</v>
      </c>
      <c r="EF25" s="497">
        <v>15000</v>
      </c>
      <c r="EG25" s="497">
        <v>15000</v>
      </c>
      <c r="EH25" s="497">
        <v>15000</v>
      </c>
      <c r="EI25" s="497">
        <v>15000</v>
      </c>
      <c r="EJ25" s="524">
        <v>15000</v>
      </c>
      <c r="EK25" s="537" t="s">
        <v>241</v>
      </c>
      <c r="EL25" s="497"/>
      <c r="EM25" s="497"/>
      <c r="EN25" s="497"/>
      <c r="EO25" s="497"/>
      <c r="EP25" s="497"/>
      <c r="EQ25" s="497"/>
      <c r="ER25" s="497"/>
      <c r="ES25" s="497"/>
      <c r="ET25" s="497"/>
      <c r="EU25" s="497"/>
      <c r="EV25" s="497"/>
      <c r="EW25" s="536"/>
      <c r="EX25" s="535" t="s">
        <v>241</v>
      </c>
      <c r="EY25" s="497"/>
      <c r="EZ25" s="497"/>
      <c r="FA25" s="497"/>
      <c r="FB25" s="497"/>
      <c r="FC25" s="497"/>
      <c r="FD25" s="497"/>
      <c r="FE25" s="497"/>
      <c r="FF25" s="497"/>
      <c r="FG25" s="497"/>
      <c r="FH25" s="497"/>
      <c r="FI25" s="497"/>
      <c r="FJ25" s="538"/>
      <c r="FK25" s="537" t="s">
        <v>241</v>
      </c>
      <c r="FL25" s="536">
        <v>1500000</v>
      </c>
      <c r="FM25" s="497">
        <v>1600000</v>
      </c>
      <c r="FN25" s="497">
        <v>1600000</v>
      </c>
      <c r="FO25" s="497"/>
      <c r="FP25" s="497"/>
      <c r="FQ25" s="497"/>
      <c r="FR25" s="497"/>
      <c r="FS25" s="497"/>
      <c r="FT25" s="497"/>
      <c r="FU25" s="497"/>
      <c r="FV25" s="497"/>
      <c r="FW25" s="536"/>
      <c r="FX25" s="535" t="s">
        <v>241</v>
      </c>
      <c r="FY25" s="497">
        <f t="shared" si="22"/>
        <v>168000</v>
      </c>
      <c r="FZ25" s="497">
        <f t="shared" si="22"/>
        <v>108000</v>
      </c>
      <c r="GA25" s="497">
        <f t="shared" si="22"/>
        <v>0</v>
      </c>
      <c r="GB25" s="497">
        <f t="shared" si="22"/>
        <v>0</v>
      </c>
      <c r="GC25" s="497">
        <f t="shared" si="22"/>
        <v>0</v>
      </c>
      <c r="GD25" s="497">
        <f t="shared" si="22"/>
        <v>0</v>
      </c>
      <c r="GE25" s="497">
        <f t="shared" si="22"/>
        <v>0</v>
      </c>
      <c r="GF25" s="497">
        <f t="shared" si="22"/>
        <v>0</v>
      </c>
      <c r="GG25" s="497">
        <f t="shared" si="22"/>
        <v>0</v>
      </c>
      <c r="GH25" s="497">
        <f t="shared" si="22"/>
        <v>0</v>
      </c>
      <c r="GI25" s="497">
        <f t="shared" si="22"/>
        <v>0</v>
      </c>
      <c r="GJ25" s="497">
        <f t="shared" si="22"/>
        <v>0</v>
      </c>
      <c r="GK25" s="537" t="s">
        <v>241</v>
      </c>
      <c r="GL25" s="497">
        <f t="shared" ref="GL25:GW37" si="53">CL25*DL25</f>
        <v>120000</v>
      </c>
      <c r="GM25" s="497">
        <f t="shared" si="53"/>
        <v>80000</v>
      </c>
      <c r="GN25" s="497">
        <f t="shared" si="53"/>
        <v>0</v>
      </c>
      <c r="GO25" s="497">
        <f t="shared" si="53"/>
        <v>0</v>
      </c>
      <c r="GP25" s="497">
        <f t="shared" si="53"/>
        <v>0</v>
      </c>
      <c r="GQ25" s="497">
        <f t="shared" si="53"/>
        <v>0</v>
      </c>
      <c r="GR25" s="497">
        <f t="shared" si="53"/>
        <v>0</v>
      </c>
      <c r="GS25" s="497">
        <f t="shared" si="53"/>
        <v>0</v>
      </c>
      <c r="GT25" s="497">
        <f t="shared" si="53"/>
        <v>0</v>
      </c>
      <c r="GU25" s="497">
        <f t="shared" si="53"/>
        <v>0</v>
      </c>
      <c r="GV25" s="497">
        <f t="shared" si="53"/>
        <v>0</v>
      </c>
      <c r="GW25" s="497">
        <f t="shared" si="53"/>
        <v>0</v>
      </c>
      <c r="GX25" s="537" t="s">
        <v>241</v>
      </c>
      <c r="GY25" s="173">
        <f>Y41</f>
        <v>1000</v>
      </c>
      <c r="GZ25" s="173">
        <f>U41</f>
        <v>15000</v>
      </c>
      <c r="HA25" s="173">
        <f>V41</f>
        <v>0</v>
      </c>
      <c r="HB25" s="173">
        <f>W41</f>
        <v>0</v>
      </c>
    </row>
    <row r="26" spans="1:212" ht="15.75" customHeight="1">
      <c r="A26" s="95">
        <v>18</v>
      </c>
      <c r="B26" s="935"/>
      <c r="C26" s="920"/>
      <c r="D26" s="660" t="s">
        <v>139</v>
      </c>
      <c r="E26" s="661">
        <v>1371</v>
      </c>
      <c r="F26" s="661">
        <v>1388</v>
      </c>
      <c r="G26" s="661">
        <v>1404</v>
      </c>
      <c r="H26" s="661"/>
      <c r="I26" s="661"/>
      <c r="J26" s="661"/>
      <c r="K26" s="661"/>
      <c r="L26" s="661"/>
      <c r="M26" s="661"/>
      <c r="N26" s="661"/>
      <c r="O26" s="661"/>
      <c r="P26" s="661"/>
      <c r="Q26" s="666"/>
      <c r="R26" s="89"/>
      <c r="S26" s="90"/>
      <c r="T26" s="90"/>
      <c r="U26" s="90"/>
      <c r="V26" s="90"/>
      <c r="W26" s="90"/>
      <c r="X26" s="21"/>
      <c r="Y26" s="90"/>
      <c r="Z26" s="90">
        <v>20000</v>
      </c>
      <c r="AA26" s="498" t="s">
        <v>179</v>
      </c>
      <c r="AB26" s="90" t="s">
        <v>132</v>
      </c>
      <c r="AC26" s="534">
        <v>18</v>
      </c>
      <c r="AD26" s="530"/>
      <c r="AE26" s="534">
        <v>9</v>
      </c>
      <c r="AF26" s="534">
        <v>18</v>
      </c>
      <c r="AG26" s="535" t="s">
        <v>247</v>
      </c>
      <c r="AH26" s="535" t="str">
        <f>B43</f>
        <v>Ngô Hoàng Minh</v>
      </c>
      <c r="AI26" s="497">
        <v>1920000</v>
      </c>
      <c r="AJ26" s="497">
        <f t="shared" si="0"/>
        <v>1965000</v>
      </c>
      <c r="AK26" s="497">
        <f t="shared" si="1"/>
        <v>2014000</v>
      </c>
      <c r="AL26" s="497">
        <f t="shared" si="2"/>
        <v>0</v>
      </c>
      <c r="AM26" s="497">
        <f t="shared" si="3"/>
        <v>0</v>
      </c>
      <c r="AN26" s="497">
        <f t="shared" si="4"/>
        <v>0</v>
      </c>
      <c r="AO26" s="497">
        <f t="shared" si="5"/>
        <v>0</v>
      </c>
      <c r="AP26" s="497">
        <f t="shared" si="6"/>
        <v>0</v>
      </c>
      <c r="AQ26" s="497">
        <f t="shared" si="7"/>
        <v>0</v>
      </c>
      <c r="AR26" s="497">
        <f t="shared" si="8"/>
        <v>0</v>
      </c>
      <c r="AS26" s="497">
        <f t="shared" si="9"/>
        <v>0</v>
      </c>
      <c r="AT26" s="497">
        <f t="shared" si="10"/>
        <v>0</v>
      </c>
      <c r="AU26" s="536">
        <f t="shared" si="11"/>
        <v>0</v>
      </c>
      <c r="AV26" s="537" t="s">
        <v>247</v>
      </c>
      <c r="AW26" s="497">
        <f t="shared" ref="AW26:BI26" si="54">E43</f>
        <v>8231</v>
      </c>
      <c r="AX26" s="497">
        <f t="shared" si="54"/>
        <v>8341</v>
      </c>
      <c r="AY26" s="497">
        <f t="shared" si="54"/>
        <v>8434</v>
      </c>
      <c r="AZ26" s="497">
        <f t="shared" si="54"/>
        <v>0</v>
      </c>
      <c r="BA26" s="497">
        <f t="shared" si="54"/>
        <v>0</v>
      </c>
      <c r="BB26" s="497">
        <f t="shared" si="54"/>
        <v>0</v>
      </c>
      <c r="BC26" s="497">
        <f t="shared" si="54"/>
        <v>0</v>
      </c>
      <c r="BD26" s="497">
        <f t="shared" si="54"/>
        <v>0</v>
      </c>
      <c r="BE26" s="497">
        <f t="shared" si="54"/>
        <v>0</v>
      </c>
      <c r="BF26" s="497">
        <f t="shared" si="54"/>
        <v>0</v>
      </c>
      <c r="BG26" s="497">
        <f t="shared" si="54"/>
        <v>0</v>
      </c>
      <c r="BH26" s="497">
        <f t="shared" si="54"/>
        <v>0</v>
      </c>
      <c r="BI26" s="524">
        <f t="shared" si="54"/>
        <v>0</v>
      </c>
      <c r="BJ26" s="537" t="s">
        <v>247</v>
      </c>
      <c r="BK26" s="497">
        <f t="shared" ref="BK26:BW26" si="55">E44</f>
        <v>424</v>
      </c>
      <c r="BL26" s="497">
        <f t="shared" si="55"/>
        <v>429</v>
      </c>
      <c r="BM26" s="497">
        <f t="shared" si="55"/>
        <v>434</v>
      </c>
      <c r="BN26" s="497">
        <f t="shared" si="55"/>
        <v>0</v>
      </c>
      <c r="BO26" s="497">
        <f t="shared" si="55"/>
        <v>0</v>
      </c>
      <c r="BP26" s="497">
        <f t="shared" si="55"/>
        <v>0</v>
      </c>
      <c r="BQ26" s="497">
        <f t="shared" si="55"/>
        <v>0</v>
      </c>
      <c r="BR26" s="497">
        <f t="shared" si="55"/>
        <v>0</v>
      </c>
      <c r="BS26" s="497">
        <f t="shared" si="55"/>
        <v>0</v>
      </c>
      <c r="BT26" s="497">
        <f t="shared" si="55"/>
        <v>0</v>
      </c>
      <c r="BU26" s="497">
        <f t="shared" si="55"/>
        <v>0</v>
      </c>
      <c r="BV26" s="497">
        <f t="shared" si="55"/>
        <v>0</v>
      </c>
      <c r="BW26" s="524">
        <f t="shared" si="55"/>
        <v>0</v>
      </c>
      <c r="BX26" s="537" t="s">
        <v>247</v>
      </c>
      <c r="BY26" s="497">
        <f t="shared" si="20"/>
        <v>110</v>
      </c>
      <c r="BZ26" s="497">
        <f t="shared" si="20"/>
        <v>93</v>
      </c>
      <c r="CA26" s="497">
        <f t="shared" si="20"/>
        <v>0</v>
      </c>
      <c r="CB26" s="497">
        <f t="shared" si="20"/>
        <v>0</v>
      </c>
      <c r="CC26" s="497">
        <f t="shared" si="20"/>
        <v>0</v>
      </c>
      <c r="CD26" s="497">
        <f t="shared" si="20"/>
        <v>0</v>
      </c>
      <c r="CE26" s="497">
        <f t="shared" si="20"/>
        <v>0</v>
      </c>
      <c r="CF26" s="497">
        <f t="shared" si="20"/>
        <v>0</v>
      </c>
      <c r="CG26" s="497">
        <f t="shared" si="20"/>
        <v>0</v>
      </c>
      <c r="CH26" s="497">
        <f t="shared" si="20"/>
        <v>0</v>
      </c>
      <c r="CI26" s="497">
        <f t="shared" si="20"/>
        <v>0</v>
      </c>
      <c r="CJ26" s="524">
        <f t="shared" si="20"/>
        <v>0</v>
      </c>
      <c r="CK26" s="537" t="s">
        <v>247</v>
      </c>
      <c r="CL26" s="497">
        <f t="shared" si="21"/>
        <v>5</v>
      </c>
      <c r="CM26" s="497">
        <f t="shared" si="21"/>
        <v>5</v>
      </c>
      <c r="CN26" s="497">
        <f t="shared" si="21"/>
        <v>0</v>
      </c>
      <c r="CO26" s="497">
        <f t="shared" si="21"/>
        <v>0</v>
      </c>
      <c r="CP26" s="497">
        <f t="shared" si="21"/>
        <v>0</v>
      </c>
      <c r="CQ26" s="497">
        <f t="shared" si="21"/>
        <v>0</v>
      </c>
      <c r="CR26" s="497">
        <f t="shared" si="21"/>
        <v>0</v>
      </c>
      <c r="CS26" s="497">
        <f t="shared" si="21"/>
        <v>0</v>
      </c>
      <c r="CT26" s="497">
        <f t="shared" si="21"/>
        <v>0</v>
      </c>
      <c r="CU26" s="497">
        <f t="shared" si="21"/>
        <v>0</v>
      </c>
      <c r="CV26" s="497">
        <f t="shared" si="21"/>
        <v>0</v>
      </c>
      <c r="CW26" s="536">
        <f t="shared" si="21"/>
        <v>0</v>
      </c>
      <c r="CX26" s="535" t="s">
        <v>247</v>
      </c>
      <c r="CY26" s="497">
        <v>3000</v>
      </c>
      <c r="CZ26" s="497">
        <v>3000</v>
      </c>
      <c r="DA26" s="497">
        <v>3000</v>
      </c>
      <c r="DB26" s="497">
        <v>3000</v>
      </c>
      <c r="DC26" s="497">
        <v>3000</v>
      </c>
      <c r="DD26" s="497">
        <v>3000</v>
      </c>
      <c r="DE26" s="497">
        <v>3000</v>
      </c>
      <c r="DF26" s="497">
        <v>3000</v>
      </c>
      <c r="DG26" s="497">
        <v>3000</v>
      </c>
      <c r="DH26" s="497">
        <v>3000</v>
      </c>
      <c r="DI26" s="497">
        <v>3000</v>
      </c>
      <c r="DJ26" s="524">
        <v>3000</v>
      </c>
      <c r="DK26" s="537" t="s">
        <v>247</v>
      </c>
      <c r="DL26" s="536">
        <v>20000</v>
      </c>
      <c r="DM26" s="536">
        <v>20000</v>
      </c>
      <c r="DN26" s="536">
        <v>20000</v>
      </c>
      <c r="DO26" s="536">
        <v>20000</v>
      </c>
      <c r="DP26" s="536">
        <v>20000</v>
      </c>
      <c r="DQ26" s="536">
        <v>20000</v>
      </c>
      <c r="DR26" s="536">
        <v>20000</v>
      </c>
      <c r="DS26" s="536">
        <v>20000</v>
      </c>
      <c r="DT26" s="536">
        <v>20000</v>
      </c>
      <c r="DU26" s="536">
        <v>20000</v>
      </c>
      <c r="DV26" s="536">
        <v>20000</v>
      </c>
      <c r="DW26" s="536">
        <v>20000</v>
      </c>
      <c r="DX26" s="535" t="s">
        <v>247</v>
      </c>
      <c r="DY26" s="497">
        <v>15000</v>
      </c>
      <c r="DZ26" s="497">
        <v>15000</v>
      </c>
      <c r="EA26" s="497">
        <v>15000</v>
      </c>
      <c r="EB26" s="497">
        <v>15000</v>
      </c>
      <c r="EC26" s="497">
        <v>15000</v>
      </c>
      <c r="ED26" s="497">
        <v>15000</v>
      </c>
      <c r="EE26" s="497">
        <v>15000</v>
      </c>
      <c r="EF26" s="497">
        <v>15000</v>
      </c>
      <c r="EG26" s="497">
        <v>15000</v>
      </c>
      <c r="EH26" s="497">
        <v>15000</v>
      </c>
      <c r="EI26" s="497">
        <v>15000</v>
      </c>
      <c r="EJ26" s="524">
        <v>15000</v>
      </c>
      <c r="EK26" s="537" t="s">
        <v>247</v>
      </c>
      <c r="EL26" s="497">
        <v>20000</v>
      </c>
      <c r="EM26" s="497">
        <v>20000</v>
      </c>
      <c r="EN26" s="497">
        <v>20000</v>
      </c>
      <c r="EO26" s="497">
        <v>20000</v>
      </c>
      <c r="EP26" s="497">
        <v>20000</v>
      </c>
      <c r="EQ26" s="497">
        <v>20000</v>
      </c>
      <c r="ER26" s="497">
        <v>20000</v>
      </c>
      <c r="ES26" s="497">
        <v>20000</v>
      </c>
      <c r="ET26" s="497">
        <v>20000</v>
      </c>
      <c r="EU26" s="497">
        <v>20000</v>
      </c>
      <c r="EV26" s="497">
        <v>20000</v>
      </c>
      <c r="EW26" s="536">
        <v>20000</v>
      </c>
      <c r="EX26" s="535" t="s">
        <v>247</v>
      </c>
      <c r="EY26" s="497"/>
      <c r="EZ26" s="497"/>
      <c r="FA26" s="497"/>
      <c r="FB26" s="497"/>
      <c r="FC26" s="497"/>
      <c r="FD26" s="497"/>
      <c r="FE26" s="497"/>
      <c r="FF26" s="497"/>
      <c r="FG26" s="497"/>
      <c r="FH26" s="497"/>
      <c r="FI26" s="497"/>
      <c r="FJ26" s="538"/>
      <c r="FK26" s="537" t="s">
        <v>247</v>
      </c>
      <c r="FL26" s="536">
        <v>1500000</v>
      </c>
      <c r="FM26" s="497">
        <v>1600000</v>
      </c>
      <c r="FN26" s="497">
        <v>1600000</v>
      </c>
      <c r="FO26" s="497"/>
      <c r="FP26" s="497"/>
      <c r="FQ26" s="497"/>
      <c r="FR26" s="497"/>
      <c r="FS26" s="497"/>
      <c r="FT26" s="497"/>
      <c r="FU26" s="497"/>
      <c r="FV26" s="497"/>
      <c r="FW26" s="536"/>
      <c r="FX26" s="535" t="s">
        <v>247</v>
      </c>
      <c r="FY26" s="497">
        <f t="shared" si="22"/>
        <v>330000</v>
      </c>
      <c r="FZ26" s="497">
        <f t="shared" si="22"/>
        <v>279000</v>
      </c>
      <c r="GA26" s="497">
        <f t="shared" si="22"/>
        <v>0</v>
      </c>
      <c r="GB26" s="497">
        <f t="shared" si="22"/>
        <v>0</v>
      </c>
      <c r="GC26" s="497">
        <f t="shared" si="22"/>
        <v>0</v>
      </c>
      <c r="GD26" s="497">
        <f t="shared" si="22"/>
        <v>0</v>
      </c>
      <c r="GE26" s="497">
        <f t="shared" si="22"/>
        <v>0</v>
      </c>
      <c r="GF26" s="497">
        <f t="shared" si="22"/>
        <v>0</v>
      </c>
      <c r="GG26" s="497">
        <f t="shared" si="22"/>
        <v>0</v>
      </c>
      <c r="GH26" s="497">
        <f t="shared" si="22"/>
        <v>0</v>
      </c>
      <c r="GI26" s="497">
        <f t="shared" si="22"/>
        <v>0</v>
      </c>
      <c r="GJ26" s="497">
        <f t="shared" si="22"/>
        <v>0</v>
      </c>
      <c r="GK26" s="537" t="s">
        <v>247</v>
      </c>
      <c r="GL26" s="497">
        <f t="shared" si="53"/>
        <v>100000</v>
      </c>
      <c r="GM26" s="497">
        <f t="shared" si="53"/>
        <v>100000</v>
      </c>
      <c r="GN26" s="497">
        <f t="shared" si="53"/>
        <v>0</v>
      </c>
      <c r="GO26" s="497">
        <f t="shared" si="53"/>
        <v>0</v>
      </c>
      <c r="GP26" s="497">
        <f t="shared" si="53"/>
        <v>0</v>
      </c>
      <c r="GQ26" s="497">
        <f t="shared" si="53"/>
        <v>0</v>
      </c>
      <c r="GR26" s="497">
        <f t="shared" si="53"/>
        <v>0</v>
      </c>
      <c r="GS26" s="497">
        <f t="shared" si="53"/>
        <v>0</v>
      </c>
      <c r="GT26" s="497">
        <f t="shared" si="53"/>
        <v>0</v>
      </c>
      <c r="GU26" s="497">
        <f t="shared" si="53"/>
        <v>0</v>
      </c>
      <c r="GV26" s="497">
        <f t="shared" si="53"/>
        <v>0</v>
      </c>
      <c r="GW26" s="497">
        <f t="shared" si="53"/>
        <v>0</v>
      </c>
      <c r="GX26" s="537" t="s">
        <v>247</v>
      </c>
      <c r="GY26" s="173">
        <f>Y43</f>
        <v>1000</v>
      </c>
      <c r="GZ26" s="173">
        <f>U43</f>
        <v>15000</v>
      </c>
      <c r="HA26" s="173">
        <f>V43</f>
        <v>20000</v>
      </c>
      <c r="HB26" s="173">
        <f>W43</f>
        <v>0</v>
      </c>
    </row>
    <row r="27" spans="1:212" ht="15.75" customHeight="1">
      <c r="A27" s="78">
        <v>19</v>
      </c>
      <c r="B27" s="936" t="s">
        <v>731</v>
      </c>
      <c r="C27" s="921" t="s">
        <v>188</v>
      </c>
      <c r="D27" s="662" t="s">
        <v>128</v>
      </c>
      <c r="E27" s="302">
        <v>13621</v>
      </c>
      <c r="F27" s="302">
        <v>13783</v>
      </c>
      <c r="G27" s="302">
        <v>13887</v>
      </c>
      <c r="H27" s="302"/>
      <c r="I27" s="302"/>
      <c r="J27" s="302"/>
      <c r="K27" s="302"/>
      <c r="L27" s="302"/>
      <c r="M27" s="302"/>
      <c r="N27" s="302"/>
      <c r="O27" s="302"/>
      <c r="P27" s="302"/>
      <c r="Q27" s="305"/>
      <c r="R27" s="90"/>
      <c r="S27" s="90"/>
      <c r="T27" s="90">
        <v>1800</v>
      </c>
      <c r="U27" s="90">
        <v>15000</v>
      </c>
      <c r="V27" s="90">
        <v>0</v>
      </c>
      <c r="W27" s="90">
        <v>0</v>
      </c>
      <c r="X27" s="21" t="s">
        <v>131</v>
      </c>
      <c r="Y27" s="90">
        <v>1000</v>
      </c>
      <c r="Z27" s="90">
        <v>3000</v>
      </c>
      <c r="AA27" s="498" t="s">
        <v>188</v>
      </c>
      <c r="AB27" s="90" t="s">
        <v>132</v>
      </c>
      <c r="AC27" s="534">
        <v>19</v>
      </c>
      <c r="AD27" s="534">
        <v>10</v>
      </c>
      <c r="AE27" s="534"/>
      <c r="AF27" s="534">
        <v>19</v>
      </c>
      <c r="AG27" s="535" t="s">
        <v>254</v>
      </c>
      <c r="AH27" s="535" t="str">
        <f>B45</f>
        <v>Nguyễn Ngọc Hồng</v>
      </c>
      <c r="AI27" s="497">
        <v>2045000</v>
      </c>
      <c r="AJ27" s="497">
        <f t="shared" si="0"/>
        <v>2107000</v>
      </c>
      <c r="AK27" s="497">
        <f t="shared" si="1"/>
        <v>2224000</v>
      </c>
      <c r="AL27" s="497">
        <f t="shared" si="2"/>
        <v>0</v>
      </c>
      <c r="AM27" s="497">
        <f t="shared" si="3"/>
        <v>0</v>
      </c>
      <c r="AN27" s="497">
        <f t="shared" si="4"/>
        <v>0</v>
      </c>
      <c r="AO27" s="497">
        <f t="shared" si="5"/>
        <v>0</v>
      </c>
      <c r="AP27" s="497">
        <f t="shared" si="6"/>
        <v>0</v>
      </c>
      <c r="AQ27" s="497">
        <f t="shared" si="7"/>
        <v>0</v>
      </c>
      <c r="AR27" s="497">
        <f t="shared" si="8"/>
        <v>0</v>
      </c>
      <c r="AS27" s="497">
        <f t="shared" si="9"/>
        <v>0</v>
      </c>
      <c r="AT27" s="497">
        <f t="shared" si="10"/>
        <v>0</v>
      </c>
      <c r="AU27" s="536">
        <f t="shared" si="11"/>
        <v>0</v>
      </c>
      <c r="AV27" s="537" t="s">
        <v>254</v>
      </c>
      <c r="AW27" s="497">
        <f t="shared" ref="AW27:BI27" si="56">E45</f>
        <v>12287</v>
      </c>
      <c r="AX27" s="497">
        <f t="shared" si="56"/>
        <v>12431</v>
      </c>
      <c r="AY27" s="497">
        <f t="shared" si="56"/>
        <v>12574</v>
      </c>
      <c r="AZ27" s="497">
        <f t="shared" si="56"/>
        <v>0</v>
      </c>
      <c r="BA27" s="497">
        <f t="shared" si="56"/>
        <v>0</v>
      </c>
      <c r="BB27" s="497">
        <f t="shared" si="56"/>
        <v>0</v>
      </c>
      <c r="BC27" s="497">
        <f t="shared" si="56"/>
        <v>0</v>
      </c>
      <c r="BD27" s="497">
        <f t="shared" si="56"/>
        <v>0</v>
      </c>
      <c r="BE27" s="497">
        <f t="shared" si="56"/>
        <v>0</v>
      </c>
      <c r="BF27" s="497">
        <f t="shared" si="56"/>
        <v>0</v>
      </c>
      <c r="BG27" s="497">
        <f t="shared" si="56"/>
        <v>0</v>
      </c>
      <c r="BH27" s="497">
        <f t="shared" si="56"/>
        <v>0</v>
      </c>
      <c r="BI27" s="524">
        <f t="shared" si="56"/>
        <v>0</v>
      </c>
      <c r="BJ27" s="537" t="s">
        <v>254</v>
      </c>
      <c r="BK27" s="497">
        <f t="shared" ref="BK27:BW27" si="57">E46</f>
        <v>962</v>
      </c>
      <c r="BL27" s="497">
        <f t="shared" si="57"/>
        <v>970</v>
      </c>
      <c r="BM27" s="497">
        <f t="shared" si="57"/>
        <v>979</v>
      </c>
      <c r="BN27" s="497">
        <f t="shared" si="57"/>
        <v>0</v>
      </c>
      <c r="BO27" s="497">
        <f t="shared" si="57"/>
        <v>0</v>
      </c>
      <c r="BP27" s="497">
        <f t="shared" si="57"/>
        <v>0</v>
      </c>
      <c r="BQ27" s="497">
        <f t="shared" si="57"/>
        <v>0</v>
      </c>
      <c r="BR27" s="497">
        <f t="shared" si="57"/>
        <v>0</v>
      </c>
      <c r="BS27" s="497">
        <f t="shared" si="57"/>
        <v>0</v>
      </c>
      <c r="BT27" s="497">
        <f t="shared" si="57"/>
        <v>0</v>
      </c>
      <c r="BU27" s="497">
        <f t="shared" si="57"/>
        <v>0</v>
      </c>
      <c r="BV27" s="497">
        <f t="shared" si="57"/>
        <v>0</v>
      </c>
      <c r="BW27" s="524">
        <f t="shared" si="57"/>
        <v>0</v>
      </c>
      <c r="BX27" s="537" t="s">
        <v>254</v>
      </c>
      <c r="BY27" s="497">
        <f t="shared" si="20"/>
        <v>144</v>
      </c>
      <c r="BZ27" s="497">
        <f t="shared" si="20"/>
        <v>143</v>
      </c>
      <c r="CA27" s="497">
        <f t="shared" si="20"/>
        <v>0</v>
      </c>
      <c r="CB27" s="497">
        <f t="shared" si="20"/>
        <v>0</v>
      </c>
      <c r="CC27" s="497">
        <f t="shared" si="20"/>
        <v>0</v>
      </c>
      <c r="CD27" s="497">
        <f t="shared" si="20"/>
        <v>0</v>
      </c>
      <c r="CE27" s="497">
        <f t="shared" si="20"/>
        <v>0</v>
      </c>
      <c r="CF27" s="497">
        <f t="shared" si="20"/>
        <v>0</v>
      </c>
      <c r="CG27" s="497">
        <f t="shared" si="20"/>
        <v>0</v>
      </c>
      <c r="CH27" s="497">
        <f t="shared" si="20"/>
        <v>0</v>
      </c>
      <c r="CI27" s="497">
        <f t="shared" si="20"/>
        <v>0</v>
      </c>
      <c r="CJ27" s="524">
        <f t="shared" si="20"/>
        <v>0</v>
      </c>
      <c r="CK27" s="537" t="s">
        <v>254</v>
      </c>
      <c r="CL27" s="497">
        <f t="shared" si="21"/>
        <v>8</v>
      </c>
      <c r="CM27" s="497">
        <f t="shared" si="21"/>
        <v>9</v>
      </c>
      <c r="CN27" s="497">
        <f t="shared" si="21"/>
        <v>0</v>
      </c>
      <c r="CO27" s="497">
        <f t="shared" si="21"/>
        <v>0</v>
      </c>
      <c r="CP27" s="497">
        <f t="shared" si="21"/>
        <v>0</v>
      </c>
      <c r="CQ27" s="497">
        <f t="shared" si="21"/>
        <v>0</v>
      </c>
      <c r="CR27" s="497">
        <f t="shared" si="21"/>
        <v>0</v>
      </c>
      <c r="CS27" s="497">
        <f t="shared" si="21"/>
        <v>0</v>
      </c>
      <c r="CT27" s="497">
        <f t="shared" si="21"/>
        <v>0</v>
      </c>
      <c r="CU27" s="497">
        <f t="shared" si="21"/>
        <v>0</v>
      </c>
      <c r="CV27" s="497">
        <f t="shared" si="21"/>
        <v>0</v>
      </c>
      <c r="CW27" s="536">
        <f t="shared" si="21"/>
        <v>0</v>
      </c>
      <c r="CX27" s="535" t="s">
        <v>254</v>
      </c>
      <c r="CY27" s="497">
        <v>3000</v>
      </c>
      <c r="CZ27" s="497">
        <v>3000</v>
      </c>
      <c r="DA27" s="497">
        <v>3000</v>
      </c>
      <c r="DB27" s="497">
        <v>3000</v>
      </c>
      <c r="DC27" s="497">
        <v>3000</v>
      </c>
      <c r="DD27" s="497">
        <v>3000</v>
      </c>
      <c r="DE27" s="497">
        <v>3000</v>
      </c>
      <c r="DF27" s="497">
        <v>3000</v>
      </c>
      <c r="DG27" s="497">
        <v>3000</v>
      </c>
      <c r="DH27" s="497">
        <v>3000</v>
      </c>
      <c r="DI27" s="497">
        <v>3000</v>
      </c>
      <c r="DJ27" s="524">
        <v>3000</v>
      </c>
      <c r="DK27" s="537" t="s">
        <v>254</v>
      </c>
      <c r="DL27" s="536">
        <v>20000</v>
      </c>
      <c r="DM27" s="536">
        <v>20000</v>
      </c>
      <c r="DN27" s="536">
        <v>20000</v>
      </c>
      <c r="DO27" s="536">
        <v>20000</v>
      </c>
      <c r="DP27" s="536">
        <v>20000</v>
      </c>
      <c r="DQ27" s="536">
        <v>20000</v>
      </c>
      <c r="DR27" s="536">
        <v>20000</v>
      </c>
      <c r="DS27" s="536">
        <v>20000</v>
      </c>
      <c r="DT27" s="536">
        <v>20000</v>
      </c>
      <c r="DU27" s="536">
        <v>20000</v>
      </c>
      <c r="DV27" s="536">
        <v>20000</v>
      </c>
      <c r="DW27" s="536">
        <v>20000</v>
      </c>
      <c r="DX27" s="535" t="s">
        <v>254</v>
      </c>
      <c r="DY27" s="497">
        <v>15000</v>
      </c>
      <c r="DZ27" s="497">
        <v>15000</v>
      </c>
      <c r="EA27" s="497">
        <v>15000</v>
      </c>
      <c r="EB27" s="497">
        <v>15000</v>
      </c>
      <c r="EC27" s="497">
        <v>15000</v>
      </c>
      <c r="ED27" s="497">
        <v>15000</v>
      </c>
      <c r="EE27" s="497">
        <v>15000</v>
      </c>
      <c r="EF27" s="497">
        <v>15000</v>
      </c>
      <c r="EG27" s="497">
        <v>15000</v>
      </c>
      <c r="EH27" s="497">
        <v>15000</v>
      </c>
      <c r="EI27" s="497">
        <v>15000</v>
      </c>
      <c r="EJ27" s="524">
        <v>15000</v>
      </c>
      <c r="EK27" s="537" t="s">
        <v>254</v>
      </c>
      <c r="EL27" s="497"/>
      <c r="EM27" s="497"/>
      <c r="EN27" s="497"/>
      <c r="EO27" s="497"/>
      <c r="EP27" s="497"/>
      <c r="EQ27" s="497"/>
      <c r="ER27" s="497"/>
      <c r="ES27" s="497"/>
      <c r="ET27" s="497"/>
      <c r="EU27" s="497"/>
      <c r="EV27" s="497"/>
      <c r="EW27" s="536"/>
      <c r="EX27" s="535" t="s">
        <v>254</v>
      </c>
      <c r="EY27" s="497"/>
      <c r="EZ27" s="497"/>
      <c r="FA27" s="497"/>
      <c r="FB27" s="497"/>
      <c r="FC27" s="497"/>
      <c r="FD27" s="497"/>
      <c r="FE27" s="497"/>
      <c r="FF27" s="497"/>
      <c r="FG27" s="497"/>
      <c r="FH27" s="497"/>
      <c r="FI27" s="497"/>
      <c r="FJ27" s="538"/>
      <c r="FK27" s="537" t="s">
        <v>254</v>
      </c>
      <c r="FL27" s="536">
        <v>1500000</v>
      </c>
      <c r="FM27" s="497">
        <v>1600000</v>
      </c>
      <c r="FN27" s="497">
        <v>1600000</v>
      </c>
      <c r="FO27" s="497"/>
      <c r="FP27" s="497"/>
      <c r="FQ27" s="497"/>
      <c r="FR27" s="497"/>
      <c r="FS27" s="497"/>
      <c r="FT27" s="497"/>
      <c r="FU27" s="497"/>
      <c r="FV27" s="497"/>
      <c r="FW27" s="536"/>
      <c r="FX27" s="535" t="s">
        <v>254</v>
      </c>
      <c r="FY27" s="497">
        <f t="shared" si="22"/>
        <v>432000</v>
      </c>
      <c r="FZ27" s="497">
        <f t="shared" si="22"/>
        <v>429000</v>
      </c>
      <c r="GA27" s="497">
        <f t="shared" si="22"/>
        <v>0</v>
      </c>
      <c r="GB27" s="497">
        <f t="shared" si="22"/>
        <v>0</v>
      </c>
      <c r="GC27" s="497">
        <f t="shared" si="22"/>
        <v>0</v>
      </c>
      <c r="GD27" s="497">
        <f t="shared" si="22"/>
        <v>0</v>
      </c>
      <c r="GE27" s="497">
        <f t="shared" si="22"/>
        <v>0</v>
      </c>
      <c r="GF27" s="497">
        <f t="shared" si="22"/>
        <v>0</v>
      </c>
      <c r="GG27" s="497">
        <f t="shared" si="22"/>
        <v>0</v>
      </c>
      <c r="GH27" s="497">
        <f t="shared" si="22"/>
        <v>0</v>
      </c>
      <c r="GI27" s="497">
        <f t="shared" si="22"/>
        <v>0</v>
      </c>
      <c r="GJ27" s="497">
        <f t="shared" si="22"/>
        <v>0</v>
      </c>
      <c r="GK27" s="537" t="s">
        <v>254</v>
      </c>
      <c r="GL27" s="497">
        <f t="shared" si="53"/>
        <v>160000</v>
      </c>
      <c r="GM27" s="497">
        <f t="shared" si="53"/>
        <v>180000</v>
      </c>
      <c r="GN27" s="497">
        <f t="shared" si="53"/>
        <v>0</v>
      </c>
      <c r="GO27" s="497">
        <f t="shared" si="53"/>
        <v>0</v>
      </c>
      <c r="GP27" s="497">
        <f t="shared" si="53"/>
        <v>0</v>
      </c>
      <c r="GQ27" s="497">
        <f t="shared" si="53"/>
        <v>0</v>
      </c>
      <c r="GR27" s="497">
        <f t="shared" si="53"/>
        <v>0</v>
      </c>
      <c r="GS27" s="497">
        <f t="shared" si="53"/>
        <v>0</v>
      </c>
      <c r="GT27" s="497">
        <f t="shared" si="53"/>
        <v>0</v>
      </c>
      <c r="GU27" s="497">
        <f t="shared" si="53"/>
        <v>0</v>
      </c>
      <c r="GV27" s="497">
        <f t="shared" si="53"/>
        <v>0</v>
      </c>
      <c r="GW27" s="497">
        <f t="shared" si="53"/>
        <v>0</v>
      </c>
      <c r="GX27" s="537" t="s">
        <v>254</v>
      </c>
      <c r="GY27" s="173">
        <f>Y45</f>
        <v>1000</v>
      </c>
      <c r="GZ27" s="173">
        <f>U45</f>
        <v>15000</v>
      </c>
      <c r="HA27" s="173">
        <f>V45</f>
        <v>0</v>
      </c>
      <c r="HB27" s="173">
        <f>W45</f>
        <v>0</v>
      </c>
    </row>
    <row r="28" spans="1:212" ht="15.75" customHeight="1">
      <c r="A28" s="95">
        <v>20</v>
      </c>
      <c r="B28" s="935"/>
      <c r="C28" s="920"/>
      <c r="D28" s="662" t="s">
        <v>139</v>
      </c>
      <c r="E28" s="302">
        <v>1247</v>
      </c>
      <c r="F28" s="302">
        <v>1267</v>
      </c>
      <c r="G28" s="302">
        <v>1286</v>
      </c>
      <c r="H28" s="302"/>
      <c r="I28" s="302"/>
      <c r="J28" s="302"/>
      <c r="K28" s="302"/>
      <c r="L28" s="302"/>
      <c r="M28" s="302"/>
      <c r="N28" s="302"/>
      <c r="O28" s="302"/>
      <c r="P28" s="302"/>
      <c r="Q28" s="305"/>
      <c r="R28" s="90"/>
      <c r="S28" s="90"/>
      <c r="T28" s="90"/>
      <c r="U28" s="90"/>
      <c r="V28" s="90"/>
      <c r="W28" s="90"/>
      <c r="X28" s="21"/>
      <c r="Y28" s="90"/>
      <c r="Z28" s="90">
        <v>20000</v>
      </c>
      <c r="AA28" s="498" t="s">
        <v>188</v>
      </c>
      <c r="AB28" s="90" t="s">
        <v>132</v>
      </c>
      <c r="AC28" s="534">
        <v>20</v>
      </c>
      <c r="AD28" s="534"/>
      <c r="AE28" s="534">
        <v>10</v>
      </c>
      <c r="AF28" s="534">
        <v>20</v>
      </c>
      <c r="AG28" s="535" t="s">
        <v>258</v>
      </c>
      <c r="AH28" s="535" t="str">
        <f>B47</f>
        <v>Mai Ánh Điệp</v>
      </c>
      <c r="AI28" s="497">
        <v>569000</v>
      </c>
      <c r="AJ28" s="497">
        <f t="shared" si="0"/>
        <v>575000</v>
      </c>
      <c r="AK28" s="497">
        <f t="shared" si="1"/>
        <v>75000</v>
      </c>
      <c r="AL28" s="497">
        <f t="shared" si="2"/>
        <v>0</v>
      </c>
      <c r="AM28" s="497">
        <f t="shared" si="3"/>
        <v>0</v>
      </c>
      <c r="AN28" s="497">
        <f t="shared" si="4"/>
        <v>0</v>
      </c>
      <c r="AO28" s="497">
        <f t="shared" si="5"/>
        <v>0</v>
      </c>
      <c r="AP28" s="497">
        <f t="shared" si="6"/>
        <v>0</v>
      </c>
      <c r="AQ28" s="497">
        <f t="shared" si="7"/>
        <v>0</v>
      </c>
      <c r="AR28" s="497">
        <f t="shared" si="8"/>
        <v>0</v>
      </c>
      <c r="AS28" s="497">
        <f t="shared" si="9"/>
        <v>0</v>
      </c>
      <c r="AT28" s="497">
        <f t="shared" si="10"/>
        <v>0</v>
      </c>
      <c r="AU28" s="536">
        <f t="shared" si="11"/>
        <v>0</v>
      </c>
      <c r="AV28" s="537" t="s">
        <v>258</v>
      </c>
      <c r="AW28" s="497">
        <f t="shared" ref="AW28:BI28" si="58">E47</f>
        <v>8573</v>
      </c>
      <c r="AX28" s="497">
        <f t="shared" si="58"/>
        <v>8598</v>
      </c>
      <c r="AY28" s="497">
        <f t="shared" si="58"/>
        <v>8623</v>
      </c>
      <c r="AZ28" s="497">
        <f t="shared" si="58"/>
        <v>0</v>
      </c>
      <c r="BA28" s="497">
        <f t="shared" si="58"/>
        <v>0</v>
      </c>
      <c r="BB28" s="497">
        <f t="shared" si="58"/>
        <v>0</v>
      </c>
      <c r="BC28" s="497">
        <f t="shared" si="58"/>
        <v>0</v>
      </c>
      <c r="BD28" s="497">
        <f t="shared" si="58"/>
        <v>0</v>
      </c>
      <c r="BE28" s="497">
        <f t="shared" si="58"/>
        <v>0</v>
      </c>
      <c r="BF28" s="497">
        <f t="shared" si="58"/>
        <v>0</v>
      </c>
      <c r="BG28" s="497">
        <f t="shared" si="58"/>
        <v>0</v>
      </c>
      <c r="BH28" s="497">
        <f t="shared" si="58"/>
        <v>0</v>
      </c>
      <c r="BI28" s="524">
        <f t="shared" si="58"/>
        <v>0</v>
      </c>
      <c r="BJ28" s="537" t="s">
        <v>258</v>
      </c>
      <c r="BK28" s="497">
        <f t="shared" ref="BK28:BW28" si="59">E48</f>
        <v>138</v>
      </c>
      <c r="BL28" s="497">
        <f t="shared" si="59"/>
        <v>138</v>
      </c>
      <c r="BM28" s="497">
        <f t="shared" si="59"/>
        <v>138</v>
      </c>
      <c r="BN28" s="497">
        <f t="shared" si="59"/>
        <v>0</v>
      </c>
      <c r="BO28" s="497">
        <f t="shared" si="59"/>
        <v>0</v>
      </c>
      <c r="BP28" s="497">
        <f t="shared" si="59"/>
        <v>0</v>
      </c>
      <c r="BQ28" s="497">
        <f t="shared" si="59"/>
        <v>0</v>
      </c>
      <c r="BR28" s="497">
        <f t="shared" si="59"/>
        <v>0</v>
      </c>
      <c r="BS28" s="497">
        <f t="shared" si="59"/>
        <v>0</v>
      </c>
      <c r="BT28" s="497">
        <f t="shared" si="59"/>
        <v>0</v>
      </c>
      <c r="BU28" s="497">
        <f t="shared" si="59"/>
        <v>0</v>
      </c>
      <c r="BV28" s="497">
        <f t="shared" si="59"/>
        <v>0</v>
      </c>
      <c r="BW28" s="524">
        <f t="shared" si="59"/>
        <v>0</v>
      </c>
      <c r="BX28" s="537" t="s">
        <v>258</v>
      </c>
      <c r="BY28" s="497">
        <f t="shared" si="20"/>
        <v>25</v>
      </c>
      <c r="BZ28" s="497">
        <f t="shared" si="20"/>
        <v>25</v>
      </c>
      <c r="CA28" s="497">
        <f t="shared" si="20"/>
        <v>0</v>
      </c>
      <c r="CB28" s="497">
        <f t="shared" si="20"/>
        <v>0</v>
      </c>
      <c r="CC28" s="497">
        <f t="shared" si="20"/>
        <v>0</v>
      </c>
      <c r="CD28" s="497">
        <f t="shared" si="20"/>
        <v>0</v>
      </c>
      <c r="CE28" s="497">
        <f t="shared" si="20"/>
        <v>0</v>
      </c>
      <c r="CF28" s="497">
        <f t="shared" si="20"/>
        <v>0</v>
      </c>
      <c r="CG28" s="497">
        <f t="shared" si="20"/>
        <v>0</v>
      </c>
      <c r="CH28" s="497">
        <f t="shared" si="20"/>
        <v>0</v>
      </c>
      <c r="CI28" s="497">
        <f t="shared" si="20"/>
        <v>0</v>
      </c>
      <c r="CJ28" s="524">
        <f t="shared" si="20"/>
        <v>0</v>
      </c>
      <c r="CK28" s="537" t="s">
        <v>258</v>
      </c>
      <c r="CL28" s="497">
        <f t="shared" si="21"/>
        <v>0</v>
      </c>
      <c r="CM28" s="497">
        <f t="shared" si="21"/>
        <v>0</v>
      </c>
      <c r="CN28" s="497">
        <f t="shared" si="21"/>
        <v>0</v>
      </c>
      <c r="CO28" s="497">
        <f t="shared" si="21"/>
        <v>0</v>
      </c>
      <c r="CP28" s="497">
        <f t="shared" si="21"/>
        <v>0</v>
      </c>
      <c r="CQ28" s="497">
        <f t="shared" si="21"/>
        <v>0</v>
      </c>
      <c r="CR28" s="497">
        <f t="shared" si="21"/>
        <v>0</v>
      </c>
      <c r="CS28" s="497">
        <f t="shared" si="21"/>
        <v>0</v>
      </c>
      <c r="CT28" s="497">
        <f t="shared" si="21"/>
        <v>0</v>
      </c>
      <c r="CU28" s="497">
        <f t="shared" si="21"/>
        <v>0</v>
      </c>
      <c r="CV28" s="497">
        <f t="shared" si="21"/>
        <v>0</v>
      </c>
      <c r="CW28" s="536">
        <f t="shared" si="21"/>
        <v>0</v>
      </c>
      <c r="CX28" s="535" t="s">
        <v>258</v>
      </c>
      <c r="CY28" s="497">
        <v>3000</v>
      </c>
      <c r="CZ28" s="497">
        <v>3000</v>
      </c>
      <c r="DA28" s="497">
        <v>3000</v>
      </c>
      <c r="DB28" s="497">
        <v>3000</v>
      </c>
      <c r="DC28" s="497">
        <v>3000</v>
      </c>
      <c r="DD28" s="497">
        <v>3000</v>
      </c>
      <c r="DE28" s="497">
        <v>3000</v>
      </c>
      <c r="DF28" s="497">
        <v>3000</v>
      </c>
      <c r="DG28" s="497">
        <v>3000</v>
      </c>
      <c r="DH28" s="497">
        <v>3000</v>
      </c>
      <c r="DI28" s="497">
        <v>3000</v>
      </c>
      <c r="DJ28" s="524">
        <v>3000</v>
      </c>
      <c r="DK28" s="537" t="s">
        <v>258</v>
      </c>
      <c r="DL28" s="536">
        <v>20000</v>
      </c>
      <c r="DM28" s="536">
        <v>20000</v>
      </c>
      <c r="DN28" s="536">
        <v>20000</v>
      </c>
      <c r="DO28" s="536">
        <v>20000</v>
      </c>
      <c r="DP28" s="536">
        <v>20000</v>
      </c>
      <c r="DQ28" s="536">
        <v>20000</v>
      </c>
      <c r="DR28" s="536">
        <v>20000</v>
      </c>
      <c r="DS28" s="536">
        <v>20000</v>
      </c>
      <c r="DT28" s="536">
        <v>20000</v>
      </c>
      <c r="DU28" s="536">
        <v>20000</v>
      </c>
      <c r="DV28" s="536">
        <v>20000</v>
      </c>
      <c r="DW28" s="536">
        <v>20000</v>
      </c>
      <c r="DX28" s="535" t="s">
        <v>258</v>
      </c>
      <c r="DY28" s="497"/>
      <c r="DZ28" s="497"/>
      <c r="EA28" s="497"/>
      <c r="EB28" s="497"/>
      <c r="EC28" s="497"/>
      <c r="ED28" s="497"/>
      <c r="EE28" s="497"/>
      <c r="EF28" s="497"/>
      <c r="EG28" s="497"/>
      <c r="EH28" s="497"/>
      <c r="EI28" s="497"/>
      <c r="EJ28" s="524"/>
      <c r="EK28" s="537" t="s">
        <v>258</v>
      </c>
      <c r="EL28" s="497"/>
      <c r="EM28" s="497"/>
      <c r="EN28" s="497"/>
      <c r="EO28" s="497"/>
      <c r="EP28" s="497"/>
      <c r="EQ28" s="497"/>
      <c r="ER28" s="497"/>
      <c r="ES28" s="497"/>
      <c r="ET28" s="497"/>
      <c r="EU28" s="497"/>
      <c r="EV28" s="497"/>
      <c r="EW28" s="536"/>
      <c r="EX28" s="535" t="s">
        <v>258</v>
      </c>
      <c r="EY28" s="497"/>
      <c r="EZ28" s="497"/>
      <c r="FA28" s="497"/>
      <c r="FB28" s="497"/>
      <c r="FC28" s="497"/>
      <c r="FD28" s="497"/>
      <c r="FE28" s="497"/>
      <c r="FF28" s="497"/>
      <c r="FG28" s="497"/>
      <c r="FH28" s="497"/>
      <c r="FI28" s="497"/>
      <c r="FJ28" s="538"/>
      <c r="FK28" s="537" t="s">
        <v>258</v>
      </c>
      <c r="FL28" s="536">
        <v>500000</v>
      </c>
      <c r="FM28" s="536">
        <v>0</v>
      </c>
      <c r="FN28" s="536">
        <v>0</v>
      </c>
      <c r="FO28" s="497"/>
      <c r="FP28" s="497"/>
      <c r="FQ28" s="497"/>
      <c r="FR28" s="497"/>
      <c r="FS28" s="497"/>
      <c r="FT28" s="497"/>
      <c r="FU28" s="497"/>
      <c r="FV28" s="497"/>
      <c r="FW28" s="536"/>
      <c r="FX28" s="535" t="s">
        <v>258</v>
      </c>
      <c r="FY28" s="497">
        <f t="shared" si="22"/>
        <v>75000</v>
      </c>
      <c r="FZ28" s="497">
        <f t="shared" si="22"/>
        <v>75000</v>
      </c>
      <c r="GA28" s="497">
        <f t="shared" si="22"/>
        <v>0</v>
      </c>
      <c r="GB28" s="497">
        <f t="shared" si="22"/>
        <v>0</v>
      </c>
      <c r="GC28" s="497">
        <f t="shared" si="22"/>
        <v>0</v>
      </c>
      <c r="GD28" s="497">
        <f t="shared" si="22"/>
        <v>0</v>
      </c>
      <c r="GE28" s="497">
        <f t="shared" si="22"/>
        <v>0</v>
      </c>
      <c r="GF28" s="497">
        <f t="shared" si="22"/>
        <v>0</v>
      </c>
      <c r="GG28" s="497">
        <f t="shared" si="22"/>
        <v>0</v>
      </c>
      <c r="GH28" s="497">
        <f t="shared" si="22"/>
        <v>0</v>
      </c>
      <c r="GI28" s="497">
        <f t="shared" si="22"/>
        <v>0</v>
      </c>
      <c r="GJ28" s="497">
        <f t="shared" si="22"/>
        <v>0</v>
      </c>
      <c r="GK28" s="537" t="s">
        <v>258</v>
      </c>
      <c r="GL28" s="497">
        <f t="shared" si="53"/>
        <v>0</v>
      </c>
      <c r="GM28" s="497">
        <f t="shared" si="53"/>
        <v>0</v>
      </c>
      <c r="GN28" s="497">
        <f t="shared" si="53"/>
        <v>0</v>
      </c>
      <c r="GO28" s="497">
        <f t="shared" si="53"/>
        <v>0</v>
      </c>
      <c r="GP28" s="497">
        <f t="shared" si="53"/>
        <v>0</v>
      </c>
      <c r="GQ28" s="497">
        <f t="shared" si="53"/>
        <v>0</v>
      </c>
      <c r="GR28" s="497">
        <f t="shared" si="53"/>
        <v>0</v>
      </c>
      <c r="GS28" s="497">
        <f t="shared" si="53"/>
        <v>0</v>
      </c>
      <c r="GT28" s="497">
        <f t="shared" si="53"/>
        <v>0</v>
      </c>
      <c r="GU28" s="497">
        <f t="shared" si="53"/>
        <v>0</v>
      </c>
      <c r="GV28" s="497">
        <f t="shared" si="53"/>
        <v>0</v>
      </c>
      <c r="GW28" s="497">
        <f t="shared" si="53"/>
        <v>0</v>
      </c>
      <c r="GX28" s="537" t="s">
        <v>258</v>
      </c>
      <c r="GY28" s="173">
        <f>Y47</f>
        <v>0</v>
      </c>
      <c r="GZ28" s="173">
        <f>U47</f>
        <v>0</v>
      </c>
      <c r="HA28" s="173">
        <f>V47</f>
        <v>0</v>
      </c>
      <c r="HB28" s="173">
        <f>W47</f>
        <v>0</v>
      </c>
      <c r="HC28" s="534"/>
    </row>
    <row r="29" spans="1:212" ht="15.75" customHeight="1">
      <c r="A29" s="78">
        <v>21</v>
      </c>
      <c r="B29" s="934" t="s">
        <v>193</v>
      </c>
      <c r="C29" s="919" t="s">
        <v>194</v>
      </c>
      <c r="D29" s="660" t="s">
        <v>128</v>
      </c>
      <c r="E29" s="661">
        <v>12978</v>
      </c>
      <c r="F29" s="661">
        <v>13175</v>
      </c>
      <c r="G29" s="661">
        <v>13334</v>
      </c>
      <c r="H29" s="661"/>
      <c r="I29" s="661"/>
      <c r="J29" s="661"/>
      <c r="K29" s="661"/>
      <c r="L29" s="661"/>
      <c r="M29" s="661"/>
      <c r="N29" s="661"/>
      <c r="O29" s="661"/>
      <c r="P29" s="661"/>
      <c r="Q29" s="666"/>
      <c r="R29" s="89"/>
      <c r="S29" s="90"/>
      <c r="T29" s="90">
        <v>1800</v>
      </c>
      <c r="U29" s="90">
        <v>15000</v>
      </c>
      <c r="V29" s="90">
        <v>30000</v>
      </c>
      <c r="W29" s="90">
        <v>0</v>
      </c>
      <c r="X29" s="21" t="s">
        <v>131</v>
      </c>
      <c r="Y29" s="90">
        <v>500</v>
      </c>
      <c r="Z29" s="90">
        <v>3000</v>
      </c>
      <c r="AA29" s="498" t="s">
        <v>194</v>
      </c>
      <c r="AB29" s="90" t="s">
        <v>132</v>
      </c>
      <c r="AC29" s="534">
        <v>21</v>
      </c>
      <c r="AD29" s="534">
        <v>11</v>
      </c>
      <c r="AE29" s="534"/>
      <c r="AF29" s="534">
        <v>21</v>
      </c>
      <c r="AG29" s="535" t="s">
        <v>271</v>
      </c>
      <c r="AH29" s="535" t="str">
        <f>B49</f>
        <v>Nguyễn Thế Sâm</v>
      </c>
      <c r="AI29" s="497">
        <v>6320000</v>
      </c>
      <c r="AJ29" s="497">
        <f t="shared" ref="AJ29:AL37" si="60">IF(BY$38&lt;=0,0,FL29+BY29*CY29+CL29*DL29+DY29+EL29+EY29)</f>
        <v>6290000</v>
      </c>
      <c r="AK29" s="497">
        <f t="shared" si="60"/>
        <v>6350000</v>
      </c>
      <c r="AL29" s="497">
        <f t="shared" si="60"/>
        <v>0</v>
      </c>
      <c r="AM29" s="497">
        <f t="shared" ref="AM29:AM37" si="61">IF(CB$38&lt;=0,0,FO29+CB29*DB29+CO29*DO29+EB29+EO29+FB29)</f>
        <v>0</v>
      </c>
      <c r="AN29" s="497">
        <f t="shared" ref="AN29:AN37" si="62">IF(CC$38&lt;=0,0,FP29+CC29*DC29+CP29*DP29+EC29+EP29+FC29)</f>
        <v>0</v>
      </c>
      <c r="AO29" s="497">
        <f t="shared" ref="AO29:AO37" si="63">IF(CD$38&lt;=0,0,FQ29+CD29*DD29+CQ29*DQ29+ED29+EQ29+FD29)</f>
        <v>0</v>
      </c>
      <c r="AP29" s="497">
        <f t="shared" ref="AP29:AP37" si="64">IF(CE$38&lt;=0,0,FR29+CE29*DE29+CR29*DR29+EE29+ER29+FE29)</f>
        <v>0</v>
      </c>
      <c r="AQ29" s="497">
        <f t="shared" ref="AQ29:AQ37" si="65">IF(CF$38&lt;=0,0,FS29+CF29*DF29+CS29*DS29+EF29+ES29+FF29)</f>
        <v>0</v>
      </c>
      <c r="AR29" s="497">
        <f t="shared" ref="AR29:AR37" si="66">IF(CG$38&lt;=0,0,FT29+CG29*DG29+CT29*DT29+EG29+ET29+FG29)</f>
        <v>0</v>
      </c>
      <c r="AS29" s="497">
        <f t="shared" ref="AS29:AS37" si="67">IF(CH$38&lt;=0,0,FU29+CH29*DH29+CU29*DU29+EH29+EU29+FH29)</f>
        <v>0</v>
      </c>
      <c r="AT29" s="497">
        <f t="shared" ref="AT29:AT37" si="68">IF(CI$38&lt;=0,0,FV29+CI29*DI29+CV29*DV29+EI29+EV29+FI29)</f>
        <v>0</v>
      </c>
      <c r="AU29" s="536">
        <f t="shared" ref="AU29:AU37" si="69">IF(CJ$38&lt;=0,0,FW29+CJ29*DJ29+CW29*DW29+EJ29+EW29+FJ29)</f>
        <v>0</v>
      </c>
      <c r="AV29" s="537" t="s">
        <v>271</v>
      </c>
      <c r="AW29" s="497">
        <f t="shared" ref="AW29:BI29" si="70">E49</f>
        <v>0</v>
      </c>
      <c r="AX29" s="497">
        <f t="shared" si="70"/>
        <v>0</v>
      </c>
      <c r="AY29" s="497">
        <f t="shared" si="70"/>
        <v>0</v>
      </c>
      <c r="AZ29" s="497">
        <f t="shared" si="70"/>
        <v>0</v>
      </c>
      <c r="BA29" s="497">
        <f t="shared" si="70"/>
        <v>0</v>
      </c>
      <c r="BB29" s="497">
        <f t="shared" si="70"/>
        <v>0</v>
      </c>
      <c r="BC29" s="497">
        <f t="shared" si="70"/>
        <v>0</v>
      </c>
      <c r="BD29" s="497">
        <f t="shared" si="70"/>
        <v>0</v>
      </c>
      <c r="BE29" s="497">
        <f t="shared" si="70"/>
        <v>0</v>
      </c>
      <c r="BF29" s="497">
        <f t="shared" si="70"/>
        <v>0</v>
      </c>
      <c r="BG29" s="497">
        <f t="shared" si="70"/>
        <v>0</v>
      </c>
      <c r="BH29" s="497">
        <f t="shared" si="70"/>
        <v>0</v>
      </c>
      <c r="BI29" s="524">
        <f t="shared" si="70"/>
        <v>0</v>
      </c>
      <c r="BJ29" s="537" t="s">
        <v>271</v>
      </c>
      <c r="BK29" s="497">
        <f t="shared" ref="BK29:BW29" si="71">E50</f>
        <v>245</v>
      </c>
      <c r="BL29" s="497">
        <f t="shared" si="71"/>
        <v>263</v>
      </c>
      <c r="BM29" s="497">
        <f t="shared" si="71"/>
        <v>285</v>
      </c>
      <c r="BN29" s="497">
        <f t="shared" si="71"/>
        <v>0</v>
      </c>
      <c r="BO29" s="497">
        <f t="shared" si="71"/>
        <v>0</v>
      </c>
      <c r="BP29" s="497">
        <f t="shared" si="71"/>
        <v>0</v>
      </c>
      <c r="BQ29" s="497">
        <f t="shared" si="71"/>
        <v>0</v>
      </c>
      <c r="BR29" s="497">
        <f t="shared" si="71"/>
        <v>0</v>
      </c>
      <c r="BS29" s="497">
        <f t="shared" si="71"/>
        <v>0</v>
      </c>
      <c r="BT29" s="497">
        <f t="shared" si="71"/>
        <v>0</v>
      </c>
      <c r="BU29" s="497">
        <f t="shared" si="71"/>
        <v>0</v>
      </c>
      <c r="BV29" s="497">
        <f t="shared" si="71"/>
        <v>0</v>
      </c>
      <c r="BW29" s="524">
        <f t="shared" si="71"/>
        <v>0</v>
      </c>
      <c r="BX29" s="537" t="s">
        <v>271</v>
      </c>
      <c r="BY29" s="497">
        <f t="shared" si="20"/>
        <v>0</v>
      </c>
      <c r="BZ29" s="497">
        <f t="shared" si="20"/>
        <v>0</v>
      </c>
      <c r="CA29" s="497">
        <f t="shared" si="20"/>
        <v>0</v>
      </c>
      <c r="CB29" s="497">
        <f t="shared" si="20"/>
        <v>0</v>
      </c>
      <c r="CC29" s="497">
        <f t="shared" si="20"/>
        <v>0</v>
      </c>
      <c r="CD29" s="497">
        <f t="shared" si="20"/>
        <v>0</v>
      </c>
      <c r="CE29" s="497">
        <f t="shared" si="20"/>
        <v>0</v>
      </c>
      <c r="CF29" s="497">
        <f t="shared" si="20"/>
        <v>0</v>
      </c>
      <c r="CG29" s="497">
        <f t="shared" si="20"/>
        <v>0</v>
      </c>
      <c r="CH29" s="497">
        <f t="shared" si="20"/>
        <v>0</v>
      </c>
      <c r="CI29" s="497">
        <f t="shared" si="20"/>
        <v>0</v>
      </c>
      <c r="CJ29" s="524">
        <f t="shared" si="20"/>
        <v>0</v>
      </c>
      <c r="CK29" s="537" t="s">
        <v>271</v>
      </c>
      <c r="CL29" s="497">
        <f t="shared" si="21"/>
        <v>18</v>
      </c>
      <c r="CM29" s="497">
        <f t="shared" si="21"/>
        <v>22</v>
      </c>
      <c r="CN29" s="497">
        <f t="shared" si="21"/>
        <v>0</v>
      </c>
      <c r="CO29" s="497">
        <f t="shared" si="21"/>
        <v>0</v>
      </c>
      <c r="CP29" s="497">
        <f t="shared" si="21"/>
        <v>0</v>
      </c>
      <c r="CQ29" s="497">
        <f t="shared" si="21"/>
        <v>0</v>
      </c>
      <c r="CR29" s="497">
        <f t="shared" si="21"/>
        <v>0</v>
      </c>
      <c r="CS29" s="497">
        <f t="shared" si="21"/>
        <v>0</v>
      </c>
      <c r="CT29" s="497">
        <f t="shared" si="21"/>
        <v>0</v>
      </c>
      <c r="CU29" s="497">
        <f t="shared" si="21"/>
        <v>0</v>
      </c>
      <c r="CV29" s="497">
        <f t="shared" si="21"/>
        <v>0</v>
      </c>
      <c r="CW29" s="536">
        <f t="shared" si="21"/>
        <v>0</v>
      </c>
      <c r="CX29" s="535" t="s">
        <v>271</v>
      </c>
      <c r="CY29" s="497">
        <v>3000</v>
      </c>
      <c r="CZ29" s="497">
        <v>3000</v>
      </c>
      <c r="DA29" s="497">
        <v>3000</v>
      </c>
      <c r="DB29" s="497">
        <v>3000</v>
      </c>
      <c r="DC29" s="497">
        <v>3000</v>
      </c>
      <c r="DD29" s="497">
        <v>3000</v>
      </c>
      <c r="DE29" s="497">
        <v>3000</v>
      </c>
      <c r="DF29" s="497">
        <v>3000</v>
      </c>
      <c r="DG29" s="497">
        <v>3000</v>
      </c>
      <c r="DH29" s="497">
        <v>3000</v>
      </c>
      <c r="DI29" s="497">
        <v>3000</v>
      </c>
      <c r="DJ29" s="524">
        <v>3000</v>
      </c>
      <c r="DK29" s="537" t="s">
        <v>271</v>
      </c>
      <c r="DL29" s="536">
        <v>15000</v>
      </c>
      <c r="DM29" s="536">
        <v>15000</v>
      </c>
      <c r="DN29" s="536">
        <v>15000</v>
      </c>
      <c r="DO29" s="536">
        <v>15000</v>
      </c>
      <c r="DP29" s="536">
        <v>15000</v>
      </c>
      <c r="DQ29" s="536">
        <v>15000</v>
      </c>
      <c r="DR29" s="536">
        <v>15000</v>
      </c>
      <c r="DS29" s="536">
        <v>15000</v>
      </c>
      <c r="DT29" s="536">
        <v>15000</v>
      </c>
      <c r="DU29" s="536">
        <v>15000</v>
      </c>
      <c r="DV29" s="536">
        <v>15000</v>
      </c>
      <c r="DW29" s="536">
        <v>15000</v>
      </c>
      <c r="DX29" s="535" t="s">
        <v>271</v>
      </c>
      <c r="DY29" s="497"/>
      <c r="DZ29" s="497"/>
      <c r="EA29" s="497"/>
      <c r="EB29" s="497"/>
      <c r="EC29" s="497"/>
      <c r="ED29" s="497"/>
      <c r="EE29" s="497"/>
      <c r="EF29" s="497"/>
      <c r="EG29" s="497"/>
      <c r="EH29" s="497"/>
      <c r="EI29" s="497"/>
      <c r="EJ29" s="524"/>
      <c r="EK29" s="537" t="s">
        <v>271</v>
      </c>
      <c r="EL29" s="497">
        <v>20000</v>
      </c>
      <c r="EM29" s="497">
        <v>20000</v>
      </c>
      <c r="EN29" s="497">
        <v>20000</v>
      </c>
      <c r="EO29" s="497">
        <v>20000</v>
      </c>
      <c r="EP29" s="497">
        <v>20000</v>
      </c>
      <c r="EQ29" s="497">
        <v>20000</v>
      </c>
      <c r="ER29" s="497">
        <v>20000</v>
      </c>
      <c r="ES29" s="497">
        <v>20000</v>
      </c>
      <c r="ET29" s="497">
        <v>20000</v>
      </c>
      <c r="EU29" s="497">
        <v>20000</v>
      </c>
      <c r="EV29" s="497">
        <v>20000</v>
      </c>
      <c r="EW29" s="536">
        <v>20000</v>
      </c>
      <c r="EX29" s="535" t="s">
        <v>271</v>
      </c>
      <c r="EY29" s="497"/>
      <c r="EZ29" s="497"/>
      <c r="FA29" s="497"/>
      <c r="FB29" s="497"/>
      <c r="FC29" s="497"/>
      <c r="FD29" s="497"/>
      <c r="FE29" s="497"/>
      <c r="FF29" s="497"/>
      <c r="FG29" s="497"/>
      <c r="FH29" s="497"/>
      <c r="FI29" s="497"/>
      <c r="FJ29" s="538"/>
      <c r="FK29" s="537" t="s">
        <v>271</v>
      </c>
      <c r="FL29" s="497">
        <v>6000000</v>
      </c>
      <c r="FM29" s="497">
        <v>6000000</v>
      </c>
      <c r="FN29" s="497">
        <v>6000000</v>
      </c>
      <c r="FO29" s="497"/>
      <c r="FP29" s="497"/>
      <c r="FQ29" s="497"/>
      <c r="FR29" s="497"/>
      <c r="FS29" s="497"/>
      <c r="FT29" s="497"/>
      <c r="FU29" s="497"/>
      <c r="FV29" s="497"/>
      <c r="FW29" s="536"/>
      <c r="FX29" s="535" t="s">
        <v>271</v>
      </c>
      <c r="FY29" s="497">
        <f t="shared" si="22"/>
        <v>0</v>
      </c>
      <c r="FZ29" s="497">
        <f t="shared" si="22"/>
        <v>0</v>
      </c>
      <c r="GA29" s="497">
        <f t="shared" si="22"/>
        <v>0</v>
      </c>
      <c r="GB29" s="497">
        <f t="shared" si="22"/>
        <v>0</v>
      </c>
      <c r="GC29" s="497">
        <f t="shared" si="22"/>
        <v>0</v>
      </c>
      <c r="GD29" s="497">
        <f t="shared" si="22"/>
        <v>0</v>
      </c>
      <c r="GE29" s="497">
        <f t="shared" si="22"/>
        <v>0</v>
      </c>
      <c r="GF29" s="497">
        <f t="shared" si="22"/>
        <v>0</v>
      </c>
      <c r="GG29" s="497">
        <f t="shared" si="22"/>
        <v>0</v>
      </c>
      <c r="GH29" s="497">
        <f t="shared" si="22"/>
        <v>0</v>
      </c>
      <c r="GI29" s="497">
        <f t="shared" si="22"/>
        <v>0</v>
      </c>
      <c r="GJ29" s="497">
        <f t="shared" si="22"/>
        <v>0</v>
      </c>
      <c r="GK29" s="537" t="s">
        <v>271</v>
      </c>
      <c r="GL29" s="497">
        <f t="shared" si="53"/>
        <v>270000</v>
      </c>
      <c r="GM29" s="497">
        <f t="shared" si="53"/>
        <v>330000</v>
      </c>
      <c r="GN29" s="497">
        <f t="shared" si="53"/>
        <v>0</v>
      </c>
      <c r="GO29" s="497">
        <f t="shared" si="53"/>
        <v>0</v>
      </c>
      <c r="GP29" s="497">
        <f t="shared" si="53"/>
        <v>0</v>
      </c>
      <c r="GQ29" s="497">
        <f t="shared" si="53"/>
        <v>0</v>
      </c>
      <c r="GR29" s="497">
        <f t="shared" si="53"/>
        <v>0</v>
      </c>
      <c r="GS29" s="497">
        <f t="shared" si="53"/>
        <v>0</v>
      </c>
      <c r="GT29" s="497">
        <f t="shared" si="53"/>
        <v>0</v>
      </c>
      <c r="GU29" s="497">
        <f t="shared" si="53"/>
        <v>0</v>
      </c>
      <c r="GV29" s="497">
        <f t="shared" si="53"/>
        <v>0</v>
      </c>
      <c r="GW29" s="497">
        <f t="shared" si="53"/>
        <v>0</v>
      </c>
      <c r="GX29" s="537" t="s">
        <v>271</v>
      </c>
      <c r="GY29" s="173">
        <f>Y49</f>
        <v>12000</v>
      </c>
      <c r="GZ29" s="173">
        <f>U49</f>
        <v>0</v>
      </c>
      <c r="HA29" s="173">
        <f>V49</f>
        <v>20000</v>
      </c>
      <c r="HB29" s="173">
        <f>W49</f>
        <v>0</v>
      </c>
      <c r="HC29" s="534"/>
    </row>
    <row r="30" spans="1:212" ht="15.75" customHeight="1">
      <c r="A30" s="95">
        <v>22</v>
      </c>
      <c r="B30" s="935"/>
      <c r="C30" s="920"/>
      <c r="D30" s="660" t="s">
        <v>139</v>
      </c>
      <c r="E30" s="661">
        <v>1497</v>
      </c>
      <c r="F30" s="661">
        <v>1516</v>
      </c>
      <c r="G30" s="661">
        <v>1529</v>
      </c>
      <c r="H30" s="661"/>
      <c r="I30" s="661"/>
      <c r="J30" s="661"/>
      <c r="K30" s="661"/>
      <c r="L30" s="661"/>
      <c r="M30" s="661"/>
      <c r="N30" s="661"/>
      <c r="O30" s="661"/>
      <c r="P30" s="661"/>
      <c r="Q30" s="666"/>
      <c r="R30" s="89"/>
      <c r="S30" s="90"/>
      <c r="T30" s="90"/>
      <c r="U30" s="90"/>
      <c r="V30" s="90"/>
      <c r="W30" s="90"/>
      <c r="X30" s="21"/>
      <c r="Y30" s="90"/>
      <c r="Z30" s="90">
        <v>20000</v>
      </c>
      <c r="AA30" s="498" t="s">
        <v>194</v>
      </c>
      <c r="AB30" s="90" t="s">
        <v>132</v>
      </c>
      <c r="AC30" s="534">
        <v>22</v>
      </c>
      <c r="AD30" s="534"/>
      <c r="AE30" s="534">
        <v>11</v>
      </c>
      <c r="AF30" s="534">
        <v>22</v>
      </c>
      <c r="AG30" s="535" t="s">
        <v>276</v>
      </c>
      <c r="AH30" s="535" t="str">
        <f>B51</f>
        <v>Hồ Thị Thúy Kiều</v>
      </c>
      <c r="AI30" s="497">
        <v>4000000</v>
      </c>
      <c r="AJ30" s="497">
        <f t="shared" si="60"/>
        <v>4000000</v>
      </c>
      <c r="AK30" s="497">
        <f t="shared" si="60"/>
        <v>4000000</v>
      </c>
      <c r="AL30" s="497">
        <f t="shared" si="60"/>
        <v>0</v>
      </c>
      <c r="AM30" s="497">
        <f t="shared" si="61"/>
        <v>0</v>
      </c>
      <c r="AN30" s="497">
        <f t="shared" si="62"/>
        <v>0</v>
      </c>
      <c r="AO30" s="497">
        <f t="shared" si="63"/>
        <v>0</v>
      </c>
      <c r="AP30" s="497">
        <f t="shared" si="64"/>
        <v>0</v>
      </c>
      <c r="AQ30" s="497">
        <f t="shared" si="65"/>
        <v>0</v>
      </c>
      <c r="AR30" s="497">
        <f t="shared" si="66"/>
        <v>0</v>
      </c>
      <c r="AS30" s="497">
        <f t="shared" si="67"/>
        <v>0</v>
      </c>
      <c r="AT30" s="497">
        <f t="shared" si="68"/>
        <v>0</v>
      </c>
      <c r="AU30" s="536">
        <f t="shared" si="69"/>
        <v>0</v>
      </c>
      <c r="AV30" s="537" t="s">
        <v>276</v>
      </c>
      <c r="AW30" s="497">
        <f t="shared" ref="AW30:BI30" si="72">E51</f>
        <v>0</v>
      </c>
      <c r="AX30" s="497">
        <f t="shared" si="72"/>
        <v>0</v>
      </c>
      <c r="AY30" s="497">
        <f t="shared" si="72"/>
        <v>0</v>
      </c>
      <c r="AZ30" s="497">
        <f t="shared" si="72"/>
        <v>0</v>
      </c>
      <c r="BA30" s="497">
        <f t="shared" si="72"/>
        <v>0</v>
      </c>
      <c r="BB30" s="497">
        <f t="shared" si="72"/>
        <v>0</v>
      </c>
      <c r="BC30" s="497">
        <f t="shared" si="72"/>
        <v>0</v>
      </c>
      <c r="BD30" s="497">
        <f t="shared" si="72"/>
        <v>0</v>
      </c>
      <c r="BE30" s="497">
        <f t="shared" si="72"/>
        <v>0</v>
      </c>
      <c r="BF30" s="497">
        <f t="shared" si="72"/>
        <v>0</v>
      </c>
      <c r="BG30" s="497">
        <f t="shared" si="72"/>
        <v>0</v>
      </c>
      <c r="BH30" s="497">
        <f t="shared" si="72"/>
        <v>0</v>
      </c>
      <c r="BI30" s="524">
        <f t="shared" si="72"/>
        <v>0</v>
      </c>
      <c r="BJ30" s="537" t="s">
        <v>276</v>
      </c>
      <c r="BK30" s="497">
        <f t="shared" ref="BK30:BW30" si="73">E52</f>
        <v>0</v>
      </c>
      <c r="BL30" s="497">
        <f t="shared" si="73"/>
        <v>0</v>
      </c>
      <c r="BM30" s="497">
        <f t="shared" si="73"/>
        <v>0</v>
      </c>
      <c r="BN30" s="497">
        <f t="shared" si="73"/>
        <v>0</v>
      </c>
      <c r="BO30" s="497">
        <f t="shared" si="73"/>
        <v>0</v>
      </c>
      <c r="BP30" s="497">
        <f t="shared" si="73"/>
        <v>0</v>
      </c>
      <c r="BQ30" s="497">
        <f t="shared" si="73"/>
        <v>0</v>
      </c>
      <c r="BR30" s="497">
        <f t="shared" si="73"/>
        <v>0</v>
      </c>
      <c r="BS30" s="497">
        <f t="shared" si="73"/>
        <v>0</v>
      </c>
      <c r="BT30" s="497">
        <f t="shared" si="73"/>
        <v>0</v>
      </c>
      <c r="BU30" s="497">
        <f t="shared" si="73"/>
        <v>0</v>
      </c>
      <c r="BV30" s="497">
        <f t="shared" si="73"/>
        <v>0</v>
      </c>
      <c r="BW30" s="524">
        <f t="shared" si="73"/>
        <v>0</v>
      </c>
      <c r="BX30" s="537" t="s">
        <v>276</v>
      </c>
      <c r="BY30" s="497">
        <f t="shared" si="20"/>
        <v>0</v>
      </c>
      <c r="BZ30" s="497">
        <f t="shared" si="20"/>
        <v>0</v>
      </c>
      <c r="CA30" s="497">
        <f t="shared" si="20"/>
        <v>0</v>
      </c>
      <c r="CB30" s="497">
        <f t="shared" si="20"/>
        <v>0</v>
      </c>
      <c r="CC30" s="497">
        <f t="shared" si="20"/>
        <v>0</v>
      </c>
      <c r="CD30" s="497">
        <f t="shared" si="20"/>
        <v>0</v>
      </c>
      <c r="CE30" s="497">
        <f t="shared" si="20"/>
        <v>0</v>
      </c>
      <c r="CF30" s="497">
        <f t="shared" si="20"/>
        <v>0</v>
      </c>
      <c r="CG30" s="497">
        <f t="shared" si="20"/>
        <v>0</v>
      </c>
      <c r="CH30" s="497">
        <f t="shared" si="20"/>
        <v>0</v>
      </c>
      <c r="CI30" s="497">
        <f t="shared" si="20"/>
        <v>0</v>
      </c>
      <c r="CJ30" s="524">
        <f t="shared" si="20"/>
        <v>0</v>
      </c>
      <c r="CK30" s="537" t="s">
        <v>276</v>
      </c>
      <c r="CL30" s="497">
        <f t="shared" si="21"/>
        <v>0</v>
      </c>
      <c r="CM30" s="497">
        <f t="shared" si="21"/>
        <v>0</v>
      </c>
      <c r="CN30" s="497">
        <f t="shared" si="21"/>
        <v>0</v>
      </c>
      <c r="CO30" s="497">
        <f t="shared" si="21"/>
        <v>0</v>
      </c>
      <c r="CP30" s="497">
        <f t="shared" si="21"/>
        <v>0</v>
      </c>
      <c r="CQ30" s="497">
        <f t="shared" si="21"/>
        <v>0</v>
      </c>
      <c r="CR30" s="497">
        <f t="shared" si="21"/>
        <v>0</v>
      </c>
      <c r="CS30" s="497">
        <f t="shared" si="21"/>
        <v>0</v>
      </c>
      <c r="CT30" s="497">
        <f t="shared" si="21"/>
        <v>0</v>
      </c>
      <c r="CU30" s="497">
        <f t="shared" si="21"/>
        <v>0</v>
      </c>
      <c r="CV30" s="497">
        <f t="shared" si="21"/>
        <v>0</v>
      </c>
      <c r="CW30" s="536">
        <f t="shared" si="21"/>
        <v>0</v>
      </c>
      <c r="CX30" s="535" t="s">
        <v>276</v>
      </c>
      <c r="CY30" s="497">
        <v>3000</v>
      </c>
      <c r="CZ30" s="497">
        <v>3000</v>
      </c>
      <c r="DA30" s="497">
        <v>3000</v>
      </c>
      <c r="DB30" s="497">
        <v>3000</v>
      </c>
      <c r="DC30" s="497">
        <v>3000</v>
      </c>
      <c r="DD30" s="497">
        <v>3000</v>
      </c>
      <c r="DE30" s="497">
        <v>3000</v>
      </c>
      <c r="DF30" s="497">
        <v>3000</v>
      </c>
      <c r="DG30" s="497">
        <v>3000</v>
      </c>
      <c r="DH30" s="497">
        <v>3000</v>
      </c>
      <c r="DI30" s="497">
        <v>3000</v>
      </c>
      <c r="DJ30" s="524">
        <v>3000</v>
      </c>
      <c r="DK30" s="537" t="s">
        <v>276</v>
      </c>
      <c r="DL30" s="536">
        <v>20000</v>
      </c>
      <c r="DM30" s="536">
        <v>20000</v>
      </c>
      <c r="DN30" s="536">
        <v>20000</v>
      </c>
      <c r="DO30" s="536">
        <v>20000</v>
      </c>
      <c r="DP30" s="536">
        <v>20000</v>
      </c>
      <c r="DQ30" s="536">
        <v>20000</v>
      </c>
      <c r="DR30" s="536">
        <v>20000</v>
      </c>
      <c r="DS30" s="536">
        <v>20000</v>
      </c>
      <c r="DT30" s="536">
        <v>20000</v>
      </c>
      <c r="DU30" s="536">
        <v>20000</v>
      </c>
      <c r="DV30" s="536">
        <v>20000</v>
      </c>
      <c r="DW30" s="536">
        <v>20000</v>
      </c>
      <c r="DX30" s="535" t="s">
        <v>276</v>
      </c>
      <c r="DY30" s="497"/>
      <c r="DZ30" s="497"/>
      <c r="EA30" s="497"/>
      <c r="EB30" s="497"/>
      <c r="EC30" s="497"/>
      <c r="ED30" s="497"/>
      <c r="EE30" s="497"/>
      <c r="EF30" s="497"/>
      <c r="EG30" s="497"/>
      <c r="EH30" s="497"/>
      <c r="EI30" s="497"/>
      <c r="EJ30" s="524"/>
      <c r="EK30" s="537" t="s">
        <v>276</v>
      </c>
      <c r="EL30" s="497"/>
      <c r="EM30" s="497"/>
      <c r="EN30" s="497"/>
      <c r="EO30" s="497"/>
      <c r="EP30" s="497"/>
      <c r="EQ30" s="497"/>
      <c r="ER30" s="497"/>
      <c r="ES30" s="497"/>
      <c r="ET30" s="497"/>
      <c r="EU30" s="497"/>
      <c r="EV30" s="497"/>
      <c r="EW30" s="536"/>
      <c r="EX30" s="535" t="s">
        <v>276</v>
      </c>
      <c r="EY30" s="497"/>
      <c r="EZ30" s="497"/>
      <c r="FA30" s="497"/>
      <c r="FB30" s="497"/>
      <c r="FC30" s="497"/>
      <c r="FD30" s="497"/>
      <c r="FE30" s="497"/>
      <c r="FF30" s="497"/>
      <c r="FG30" s="497"/>
      <c r="FH30" s="497"/>
      <c r="FI30" s="497"/>
      <c r="FJ30" s="538"/>
      <c r="FK30" s="537" t="s">
        <v>276</v>
      </c>
      <c r="FL30" s="536">
        <v>4000000</v>
      </c>
      <c r="FM30" s="536">
        <v>4000000</v>
      </c>
      <c r="FN30" s="536">
        <v>4000000</v>
      </c>
      <c r="FO30" s="497"/>
      <c r="FP30" s="497"/>
      <c r="FQ30" s="497"/>
      <c r="FR30" s="497"/>
      <c r="FS30" s="497"/>
      <c r="FT30" s="497"/>
      <c r="FU30" s="497"/>
      <c r="FV30" s="497"/>
      <c r="FW30" s="536"/>
      <c r="FX30" s="535" t="s">
        <v>276</v>
      </c>
      <c r="FY30" s="497">
        <f t="shared" si="22"/>
        <v>0</v>
      </c>
      <c r="FZ30" s="497">
        <f t="shared" si="22"/>
        <v>0</v>
      </c>
      <c r="GA30" s="497">
        <f t="shared" si="22"/>
        <v>0</v>
      </c>
      <c r="GB30" s="497">
        <f t="shared" si="22"/>
        <v>0</v>
      </c>
      <c r="GC30" s="497">
        <f t="shared" si="22"/>
        <v>0</v>
      </c>
      <c r="GD30" s="497">
        <f t="shared" si="22"/>
        <v>0</v>
      </c>
      <c r="GE30" s="497">
        <f t="shared" si="22"/>
        <v>0</v>
      </c>
      <c r="GF30" s="497">
        <f t="shared" si="22"/>
        <v>0</v>
      </c>
      <c r="GG30" s="497">
        <f t="shared" si="22"/>
        <v>0</v>
      </c>
      <c r="GH30" s="497">
        <f t="shared" si="22"/>
        <v>0</v>
      </c>
      <c r="GI30" s="497">
        <f t="shared" si="22"/>
        <v>0</v>
      </c>
      <c r="GJ30" s="497">
        <f t="shared" si="22"/>
        <v>0</v>
      </c>
      <c r="GK30" s="537" t="s">
        <v>276</v>
      </c>
      <c r="GL30" s="497">
        <f t="shared" si="53"/>
        <v>0</v>
      </c>
      <c r="GM30" s="497">
        <f t="shared" si="53"/>
        <v>0</v>
      </c>
      <c r="GN30" s="497">
        <f t="shared" si="53"/>
        <v>0</v>
      </c>
      <c r="GO30" s="497">
        <f t="shared" si="53"/>
        <v>0</v>
      </c>
      <c r="GP30" s="497">
        <f t="shared" si="53"/>
        <v>0</v>
      </c>
      <c r="GQ30" s="497">
        <f t="shared" si="53"/>
        <v>0</v>
      </c>
      <c r="GR30" s="497">
        <f t="shared" si="53"/>
        <v>0</v>
      </c>
      <c r="GS30" s="497">
        <f t="shared" si="53"/>
        <v>0</v>
      </c>
      <c r="GT30" s="497">
        <f t="shared" si="53"/>
        <v>0</v>
      </c>
      <c r="GU30" s="497">
        <f t="shared" si="53"/>
        <v>0</v>
      </c>
      <c r="GV30" s="497">
        <f t="shared" si="53"/>
        <v>0</v>
      </c>
      <c r="GW30" s="497">
        <f t="shared" si="53"/>
        <v>0</v>
      </c>
      <c r="GX30" s="537" t="s">
        <v>276</v>
      </c>
      <c r="GY30" s="173">
        <f>Y51</f>
        <v>8000</v>
      </c>
      <c r="GZ30" s="173">
        <f>U51</f>
        <v>0</v>
      </c>
      <c r="HA30" s="173">
        <f>V51</f>
        <v>0</v>
      </c>
      <c r="HB30" s="173">
        <f>W51</f>
        <v>0</v>
      </c>
      <c r="HC30" s="530"/>
    </row>
    <row r="31" spans="1:212" ht="15.75" customHeight="1">
      <c r="A31" s="78">
        <v>23</v>
      </c>
      <c r="B31" s="936" t="s">
        <v>930</v>
      </c>
      <c r="C31" s="921" t="s">
        <v>201</v>
      </c>
      <c r="D31" s="662" t="s">
        <v>128</v>
      </c>
      <c r="E31" s="302">
        <v>10989</v>
      </c>
      <c r="F31" s="302">
        <v>11042</v>
      </c>
      <c r="G31" s="302">
        <v>11069</v>
      </c>
      <c r="H31" s="302"/>
      <c r="I31" s="302"/>
      <c r="J31" s="302"/>
      <c r="K31" s="302"/>
      <c r="L31" s="302"/>
      <c r="M31" s="302"/>
      <c r="N31" s="302"/>
      <c r="O31" s="302"/>
      <c r="P31" s="302"/>
      <c r="Q31" s="305"/>
      <c r="R31" s="90"/>
      <c r="S31" s="90"/>
      <c r="T31" s="90">
        <v>1800</v>
      </c>
      <c r="U31" s="90">
        <v>15000</v>
      </c>
      <c r="V31" s="90">
        <v>0</v>
      </c>
      <c r="W31" s="90">
        <v>0</v>
      </c>
      <c r="X31" s="21" t="s">
        <v>131</v>
      </c>
      <c r="Y31" s="90">
        <v>1000</v>
      </c>
      <c r="Z31" s="90">
        <v>3000</v>
      </c>
      <c r="AA31" s="498" t="s">
        <v>201</v>
      </c>
      <c r="AB31" s="90" t="s">
        <v>132</v>
      </c>
      <c r="AC31" s="534">
        <v>23</v>
      </c>
      <c r="AD31" s="530">
        <v>12</v>
      </c>
      <c r="AE31" s="534"/>
      <c r="AF31" s="534">
        <v>23</v>
      </c>
      <c r="AG31" s="535" t="s">
        <v>289</v>
      </c>
      <c r="AH31" s="535" t="str">
        <f>B53</f>
        <v>Nguyễn Văn Thiệu</v>
      </c>
      <c r="AI31" s="497">
        <v>2686000</v>
      </c>
      <c r="AJ31" s="497">
        <f t="shared" si="60"/>
        <v>2764000</v>
      </c>
      <c r="AK31" s="497">
        <f t="shared" si="60"/>
        <v>2893000</v>
      </c>
      <c r="AL31" s="497">
        <f t="shared" si="60"/>
        <v>0</v>
      </c>
      <c r="AM31" s="497">
        <f t="shared" si="61"/>
        <v>0</v>
      </c>
      <c r="AN31" s="497">
        <f t="shared" si="62"/>
        <v>0</v>
      </c>
      <c r="AO31" s="497">
        <f t="shared" si="63"/>
        <v>0</v>
      </c>
      <c r="AP31" s="497">
        <f t="shared" si="64"/>
        <v>0</v>
      </c>
      <c r="AQ31" s="497">
        <f t="shared" si="65"/>
        <v>0</v>
      </c>
      <c r="AR31" s="497">
        <f t="shared" si="66"/>
        <v>0</v>
      </c>
      <c r="AS31" s="497">
        <f t="shared" si="67"/>
        <v>0</v>
      </c>
      <c r="AT31" s="497">
        <f t="shared" si="68"/>
        <v>0</v>
      </c>
      <c r="AU31" s="536">
        <f t="shared" si="69"/>
        <v>0</v>
      </c>
      <c r="AV31" s="537" t="s">
        <v>289</v>
      </c>
      <c r="AW31" s="497">
        <f t="shared" ref="AW31:BI31" si="74">E53</f>
        <v>12674</v>
      </c>
      <c r="AX31" s="497">
        <f t="shared" si="74"/>
        <v>12842</v>
      </c>
      <c r="AY31" s="497">
        <f t="shared" si="74"/>
        <v>13013</v>
      </c>
      <c r="AZ31" s="497">
        <f t="shared" si="74"/>
        <v>0</v>
      </c>
      <c r="BA31" s="497">
        <f t="shared" si="74"/>
        <v>0</v>
      </c>
      <c r="BB31" s="497">
        <f t="shared" si="74"/>
        <v>0</v>
      </c>
      <c r="BC31" s="497">
        <f t="shared" si="74"/>
        <v>0</v>
      </c>
      <c r="BD31" s="497">
        <f t="shared" si="74"/>
        <v>0</v>
      </c>
      <c r="BE31" s="497">
        <f t="shared" si="74"/>
        <v>0</v>
      </c>
      <c r="BF31" s="497">
        <f t="shared" si="74"/>
        <v>0</v>
      </c>
      <c r="BG31" s="497">
        <f t="shared" si="74"/>
        <v>0</v>
      </c>
      <c r="BH31" s="497">
        <f t="shared" si="74"/>
        <v>0</v>
      </c>
      <c r="BI31" s="524">
        <f t="shared" si="74"/>
        <v>0</v>
      </c>
      <c r="BJ31" s="537" t="s">
        <v>289</v>
      </c>
      <c r="BK31" s="497">
        <f t="shared" ref="BK31:BW31" si="75">E54</f>
        <v>1370</v>
      </c>
      <c r="BL31" s="497">
        <f t="shared" si="75"/>
        <v>1383</v>
      </c>
      <c r="BM31" s="497">
        <f t="shared" si="75"/>
        <v>1397</v>
      </c>
      <c r="BN31" s="497">
        <f t="shared" si="75"/>
        <v>0</v>
      </c>
      <c r="BO31" s="497">
        <f t="shared" si="75"/>
        <v>0</v>
      </c>
      <c r="BP31" s="497">
        <f t="shared" si="75"/>
        <v>0</v>
      </c>
      <c r="BQ31" s="497">
        <f t="shared" si="75"/>
        <v>0</v>
      </c>
      <c r="BR31" s="497">
        <f t="shared" si="75"/>
        <v>0</v>
      </c>
      <c r="BS31" s="497">
        <f t="shared" si="75"/>
        <v>0</v>
      </c>
      <c r="BT31" s="497">
        <f t="shared" si="75"/>
        <v>0</v>
      </c>
      <c r="BU31" s="497">
        <f t="shared" si="75"/>
        <v>0</v>
      </c>
      <c r="BV31" s="497">
        <f t="shared" si="75"/>
        <v>0</v>
      </c>
      <c r="BW31" s="524">
        <f t="shared" si="75"/>
        <v>0</v>
      </c>
      <c r="BX31" s="537" t="s">
        <v>289</v>
      </c>
      <c r="BY31" s="497">
        <f t="shared" si="20"/>
        <v>168</v>
      </c>
      <c r="BZ31" s="497">
        <f t="shared" si="20"/>
        <v>171</v>
      </c>
      <c r="CA31" s="497">
        <f t="shared" si="20"/>
        <v>0</v>
      </c>
      <c r="CB31" s="497">
        <f t="shared" si="20"/>
        <v>0</v>
      </c>
      <c r="CC31" s="497">
        <f t="shared" si="20"/>
        <v>0</v>
      </c>
      <c r="CD31" s="497">
        <f t="shared" si="20"/>
        <v>0</v>
      </c>
      <c r="CE31" s="497">
        <f t="shared" si="20"/>
        <v>0</v>
      </c>
      <c r="CF31" s="497">
        <f t="shared" si="20"/>
        <v>0</v>
      </c>
      <c r="CG31" s="497">
        <f t="shared" si="20"/>
        <v>0</v>
      </c>
      <c r="CH31" s="497">
        <f t="shared" si="20"/>
        <v>0</v>
      </c>
      <c r="CI31" s="497">
        <f t="shared" si="20"/>
        <v>0</v>
      </c>
      <c r="CJ31" s="524">
        <f t="shared" si="20"/>
        <v>0</v>
      </c>
      <c r="CK31" s="537" t="s">
        <v>289</v>
      </c>
      <c r="CL31" s="497">
        <f t="shared" si="21"/>
        <v>13</v>
      </c>
      <c r="CM31" s="497">
        <f t="shared" si="21"/>
        <v>14</v>
      </c>
      <c r="CN31" s="497">
        <f t="shared" si="21"/>
        <v>0</v>
      </c>
      <c r="CO31" s="497">
        <f t="shared" si="21"/>
        <v>0</v>
      </c>
      <c r="CP31" s="497">
        <f t="shared" si="21"/>
        <v>0</v>
      </c>
      <c r="CQ31" s="497">
        <f t="shared" si="21"/>
        <v>0</v>
      </c>
      <c r="CR31" s="497">
        <f t="shared" si="21"/>
        <v>0</v>
      </c>
      <c r="CS31" s="497">
        <f t="shared" si="21"/>
        <v>0</v>
      </c>
      <c r="CT31" s="497">
        <f t="shared" si="21"/>
        <v>0</v>
      </c>
      <c r="CU31" s="497">
        <f t="shared" si="21"/>
        <v>0</v>
      </c>
      <c r="CV31" s="497">
        <f t="shared" si="21"/>
        <v>0</v>
      </c>
      <c r="CW31" s="536">
        <f t="shared" si="21"/>
        <v>0</v>
      </c>
      <c r="CX31" s="535" t="s">
        <v>289</v>
      </c>
      <c r="CY31" s="497">
        <v>3000</v>
      </c>
      <c r="CZ31" s="497">
        <v>3000</v>
      </c>
      <c r="DA31" s="497">
        <v>3000</v>
      </c>
      <c r="DB31" s="497">
        <v>3000</v>
      </c>
      <c r="DC31" s="497">
        <v>3000</v>
      </c>
      <c r="DD31" s="497">
        <v>3000</v>
      </c>
      <c r="DE31" s="497">
        <v>3000</v>
      </c>
      <c r="DF31" s="497">
        <v>3000</v>
      </c>
      <c r="DG31" s="497">
        <v>3000</v>
      </c>
      <c r="DH31" s="497">
        <v>3000</v>
      </c>
      <c r="DI31" s="497">
        <v>3000</v>
      </c>
      <c r="DJ31" s="524">
        <v>3000</v>
      </c>
      <c r="DK31" s="537" t="s">
        <v>289</v>
      </c>
      <c r="DL31" s="536">
        <v>20000</v>
      </c>
      <c r="DM31" s="536">
        <v>20000</v>
      </c>
      <c r="DN31" s="536">
        <v>20000</v>
      </c>
      <c r="DO31" s="536">
        <v>20000</v>
      </c>
      <c r="DP31" s="536">
        <v>20000</v>
      </c>
      <c r="DQ31" s="536">
        <v>20000</v>
      </c>
      <c r="DR31" s="536">
        <v>20000</v>
      </c>
      <c r="DS31" s="536">
        <v>20000</v>
      </c>
      <c r="DT31" s="536">
        <v>20000</v>
      </c>
      <c r="DU31" s="536">
        <v>20000</v>
      </c>
      <c r="DV31" s="536">
        <v>20000</v>
      </c>
      <c r="DW31" s="536">
        <v>20000</v>
      </c>
      <c r="DX31" s="535" t="s">
        <v>289</v>
      </c>
      <c r="DY31" s="497"/>
      <c r="DZ31" s="497"/>
      <c r="EA31" s="497"/>
      <c r="EB31" s="497"/>
      <c r="EC31" s="497"/>
      <c r="ED31" s="497"/>
      <c r="EE31" s="497"/>
      <c r="EF31" s="497"/>
      <c r="EG31" s="497"/>
      <c r="EH31" s="497"/>
      <c r="EI31" s="497"/>
      <c r="EJ31" s="524"/>
      <c r="EK31" s="537" t="s">
        <v>289</v>
      </c>
      <c r="EL31" s="497"/>
      <c r="EM31" s="497"/>
      <c r="EN31" s="497"/>
      <c r="EO31" s="497"/>
      <c r="EP31" s="497"/>
      <c r="EQ31" s="497"/>
      <c r="ER31" s="497"/>
      <c r="ES31" s="497"/>
      <c r="ET31" s="497"/>
      <c r="EU31" s="497"/>
      <c r="EV31" s="497"/>
      <c r="EW31" s="536"/>
      <c r="EX31" s="535" t="s">
        <v>289</v>
      </c>
      <c r="EY31" s="497"/>
      <c r="EZ31" s="497"/>
      <c r="FA31" s="497"/>
      <c r="FB31" s="497"/>
      <c r="FC31" s="497"/>
      <c r="FD31" s="497"/>
      <c r="FE31" s="497"/>
      <c r="FF31" s="497"/>
      <c r="FG31" s="497"/>
      <c r="FH31" s="497"/>
      <c r="FI31" s="497"/>
      <c r="FJ31" s="538"/>
      <c r="FK31" s="537" t="s">
        <v>289</v>
      </c>
      <c r="FL31" s="536">
        <v>2000000</v>
      </c>
      <c r="FM31" s="497">
        <v>2100000</v>
      </c>
      <c r="FN31" s="497">
        <v>2100000</v>
      </c>
      <c r="FO31" s="497"/>
      <c r="FP31" s="497"/>
      <c r="FQ31" s="497"/>
      <c r="FR31" s="497"/>
      <c r="FS31" s="497"/>
      <c r="FT31" s="497"/>
      <c r="FU31" s="497"/>
      <c r="FV31" s="497"/>
      <c r="FW31" s="536"/>
      <c r="FX31" s="535" t="s">
        <v>289</v>
      </c>
      <c r="FY31" s="497">
        <f t="shared" si="22"/>
        <v>504000</v>
      </c>
      <c r="FZ31" s="497">
        <f t="shared" si="22"/>
        <v>513000</v>
      </c>
      <c r="GA31" s="497">
        <f t="shared" si="22"/>
        <v>0</v>
      </c>
      <c r="GB31" s="497">
        <f t="shared" si="22"/>
        <v>0</v>
      </c>
      <c r="GC31" s="497">
        <f t="shared" si="22"/>
        <v>0</v>
      </c>
      <c r="GD31" s="497">
        <f t="shared" si="22"/>
        <v>0</v>
      </c>
      <c r="GE31" s="497">
        <f t="shared" si="22"/>
        <v>0</v>
      </c>
      <c r="GF31" s="497">
        <f t="shared" si="22"/>
        <v>0</v>
      </c>
      <c r="GG31" s="497">
        <f t="shared" si="22"/>
        <v>0</v>
      </c>
      <c r="GH31" s="497">
        <f t="shared" si="22"/>
        <v>0</v>
      </c>
      <c r="GI31" s="497">
        <f t="shared" si="22"/>
        <v>0</v>
      </c>
      <c r="GJ31" s="497">
        <f t="shared" si="22"/>
        <v>0</v>
      </c>
      <c r="GK31" s="537" t="s">
        <v>289</v>
      </c>
      <c r="GL31" s="497">
        <f t="shared" si="53"/>
        <v>260000</v>
      </c>
      <c r="GM31" s="497">
        <f t="shared" si="53"/>
        <v>280000</v>
      </c>
      <c r="GN31" s="497">
        <f t="shared" si="53"/>
        <v>0</v>
      </c>
      <c r="GO31" s="497">
        <f t="shared" si="53"/>
        <v>0</v>
      </c>
      <c r="GP31" s="497">
        <f t="shared" si="53"/>
        <v>0</v>
      </c>
      <c r="GQ31" s="497">
        <f t="shared" si="53"/>
        <v>0</v>
      </c>
      <c r="GR31" s="497">
        <f t="shared" si="53"/>
        <v>0</v>
      </c>
      <c r="GS31" s="497">
        <f t="shared" si="53"/>
        <v>0</v>
      </c>
      <c r="GT31" s="497">
        <f t="shared" si="53"/>
        <v>0</v>
      </c>
      <c r="GU31" s="497">
        <f t="shared" si="53"/>
        <v>0</v>
      </c>
      <c r="GV31" s="497">
        <f t="shared" si="53"/>
        <v>0</v>
      </c>
      <c r="GW31" s="497">
        <f t="shared" si="53"/>
        <v>0</v>
      </c>
      <c r="GX31" s="537" t="s">
        <v>289</v>
      </c>
      <c r="GY31" s="173">
        <f>Y53</f>
        <v>4000</v>
      </c>
      <c r="GZ31" s="173">
        <f>U53</f>
        <v>0</v>
      </c>
      <c r="HA31" s="173">
        <f>V53</f>
        <v>0</v>
      </c>
      <c r="HB31" s="173">
        <f>W53</f>
        <v>0</v>
      </c>
      <c r="HC31" s="534"/>
    </row>
    <row r="32" spans="1:212" ht="15.75" customHeight="1">
      <c r="A32" s="95">
        <v>24</v>
      </c>
      <c r="B32" s="935"/>
      <c r="C32" s="920"/>
      <c r="D32" s="662" t="s">
        <v>139</v>
      </c>
      <c r="E32" s="302">
        <v>977</v>
      </c>
      <c r="F32" s="302">
        <v>981</v>
      </c>
      <c r="G32" s="302">
        <v>982</v>
      </c>
      <c r="H32" s="302"/>
      <c r="I32" s="302"/>
      <c r="J32" s="302"/>
      <c r="K32" s="302"/>
      <c r="L32" s="302"/>
      <c r="M32" s="302"/>
      <c r="N32" s="302"/>
      <c r="O32" s="302"/>
      <c r="P32" s="302"/>
      <c r="Q32" s="305"/>
      <c r="R32" s="90"/>
      <c r="S32" s="90"/>
      <c r="T32" s="90"/>
      <c r="U32" s="90"/>
      <c r="V32" s="90"/>
      <c r="W32" s="90"/>
      <c r="X32" s="21"/>
      <c r="Y32" s="90"/>
      <c r="Z32" s="90">
        <v>20000</v>
      </c>
      <c r="AA32" s="498" t="s">
        <v>201</v>
      </c>
      <c r="AB32" s="90" t="s">
        <v>132</v>
      </c>
      <c r="AC32" s="534">
        <v>24</v>
      </c>
      <c r="AD32" s="530"/>
      <c r="AE32" s="534">
        <v>12</v>
      </c>
      <c r="AF32" s="534">
        <v>24</v>
      </c>
      <c r="AG32" s="535" t="s">
        <v>292</v>
      </c>
      <c r="AH32" s="535" t="str">
        <f>B55</f>
        <v>Đoàn Văn Thanh</v>
      </c>
      <c r="AI32" s="497">
        <v>2375000</v>
      </c>
      <c r="AJ32" s="497">
        <f t="shared" si="60"/>
        <v>2378000</v>
      </c>
      <c r="AK32" s="497">
        <f t="shared" si="60"/>
        <v>2345000</v>
      </c>
      <c r="AL32" s="497">
        <f t="shared" si="60"/>
        <v>0</v>
      </c>
      <c r="AM32" s="497">
        <f t="shared" si="61"/>
        <v>0</v>
      </c>
      <c r="AN32" s="497">
        <f t="shared" si="62"/>
        <v>0</v>
      </c>
      <c r="AO32" s="497">
        <f t="shared" si="63"/>
        <v>0</v>
      </c>
      <c r="AP32" s="497">
        <f t="shared" si="64"/>
        <v>0</v>
      </c>
      <c r="AQ32" s="497">
        <f t="shared" si="65"/>
        <v>0</v>
      </c>
      <c r="AR32" s="497">
        <f t="shared" si="66"/>
        <v>0</v>
      </c>
      <c r="AS32" s="497">
        <f t="shared" si="67"/>
        <v>0</v>
      </c>
      <c r="AT32" s="497">
        <f t="shared" si="68"/>
        <v>0</v>
      </c>
      <c r="AU32" s="536">
        <f t="shared" si="69"/>
        <v>0</v>
      </c>
      <c r="AV32" s="537" t="s">
        <v>292</v>
      </c>
      <c r="AW32" s="497">
        <f t="shared" ref="AW32:BI32" si="76">E55</f>
        <v>784</v>
      </c>
      <c r="AX32" s="497">
        <f t="shared" si="76"/>
        <v>865</v>
      </c>
      <c r="AY32" s="497">
        <f t="shared" si="76"/>
        <v>915</v>
      </c>
      <c r="AZ32" s="497">
        <f t="shared" si="76"/>
        <v>0</v>
      </c>
      <c r="BA32" s="497">
        <f t="shared" si="76"/>
        <v>0</v>
      </c>
      <c r="BB32" s="497">
        <f t="shared" si="76"/>
        <v>0</v>
      </c>
      <c r="BC32" s="497">
        <f t="shared" si="76"/>
        <v>0</v>
      </c>
      <c r="BD32" s="497">
        <f t="shared" si="76"/>
        <v>0</v>
      </c>
      <c r="BE32" s="497">
        <f t="shared" si="76"/>
        <v>0</v>
      </c>
      <c r="BF32" s="497">
        <f t="shared" si="76"/>
        <v>0</v>
      </c>
      <c r="BG32" s="497">
        <f t="shared" si="76"/>
        <v>0</v>
      </c>
      <c r="BH32" s="497">
        <f t="shared" si="76"/>
        <v>0</v>
      </c>
      <c r="BI32" s="524">
        <f t="shared" si="76"/>
        <v>0</v>
      </c>
      <c r="BJ32" s="537" t="s">
        <v>292</v>
      </c>
      <c r="BK32" s="497">
        <f t="shared" ref="BK32:BW32" si="77">E56</f>
        <v>73</v>
      </c>
      <c r="BL32" s="497">
        <f t="shared" si="77"/>
        <v>79</v>
      </c>
      <c r="BM32" s="497">
        <f t="shared" si="77"/>
        <v>83</v>
      </c>
      <c r="BN32" s="497">
        <f t="shared" si="77"/>
        <v>0</v>
      </c>
      <c r="BO32" s="497">
        <f t="shared" si="77"/>
        <v>0</v>
      </c>
      <c r="BP32" s="497">
        <f t="shared" si="77"/>
        <v>0</v>
      </c>
      <c r="BQ32" s="497">
        <f t="shared" si="77"/>
        <v>0</v>
      </c>
      <c r="BR32" s="497">
        <f t="shared" si="77"/>
        <v>0</v>
      </c>
      <c r="BS32" s="497">
        <f t="shared" si="77"/>
        <v>0</v>
      </c>
      <c r="BT32" s="497">
        <f t="shared" si="77"/>
        <v>0</v>
      </c>
      <c r="BU32" s="497">
        <f t="shared" si="77"/>
        <v>0</v>
      </c>
      <c r="BV32" s="497">
        <f t="shared" si="77"/>
        <v>0</v>
      </c>
      <c r="BW32" s="524">
        <f t="shared" si="77"/>
        <v>0</v>
      </c>
      <c r="BX32" s="537" t="s">
        <v>292</v>
      </c>
      <c r="BY32" s="497">
        <f t="shared" si="20"/>
        <v>81</v>
      </c>
      <c r="BZ32" s="497">
        <f t="shared" si="20"/>
        <v>50</v>
      </c>
      <c r="CA32" s="497">
        <f t="shared" si="20"/>
        <v>0</v>
      </c>
      <c r="CB32" s="497">
        <f t="shared" si="20"/>
        <v>0</v>
      </c>
      <c r="CC32" s="497">
        <f t="shared" si="20"/>
        <v>0</v>
      </c>
      <c r="CD32" s="497">
        <f t="shared" si="20"/>
        <v>0</v>
      </c>
      <c r="CE32" s="497">
        <f t="shared" si="20"/>
        <v>0</v>
      </c>
      <c r="CF32" s="497">
        <f t="shared" si="20"/>
        <v>0</v>
      </c>
      <c r="CG32" s="497">
        <f t="shared" si="20"/>
        <v>0</v>
      </c>
      <c r="CH32" s="497">
        <f t="shared" si="20"/>
        <v>0</v>
      </c>
      <c r="CI32" s="497">
        <f t="shared" si="20"/>
        <v>0</v>
      </c>
      <c r="CJ32" s="524">
        <f t="shared" si="20"/>
        <v>0</v>
      </c>
      <c r="CK32" s="537" t="s">
        <v>292</v>
      </c>
      <c r="CL32" s="497">
        <f t="shared" si="21"/>
        <v>6</v>
      </c>
      <c r="CM32" s="497">
        <f t="shared" si="21"/>
        <v>4</v>
      </c>
      <c r="CN32" s="497">
        <f t="shared" si="21"/>
        <v>0</v>
      </c>
      <c r="CO32" s="497">
        <f t="shared" si="21"/>
        <v>0</v>
      </c>
      <c r="CP32" s="497">
        <f t="shared" si="21"/>
        <v>0</v>
      </c>
      <c r="CQ32" s="497">
        <f t="shared" si="21"/>
        <v>0</v>
      </c>
      <c r="CR32" s="497">
        <f t="shared" si="21"/>
        <v>0</v>
      </c>
      <c r="CS32" s="497">
        <f t="shared" si="21"/>
        <v>0</v>
      </c>
      <c r="CT32" s="497">
        <f t="shared" si="21"/>
        <v>0</v>
      </c>
      <c r="CU32" s="497">
        <f t="shared" si="21"/>
        <v>0</v>
      </c>
      <c r="CV32" s="497">
        <f t="shared" si="21"/>
        <v>0</v>
      </c>
      <c r="CW32" s="536">
        <f t="shared" si="21"/>
        <v>0</v>
      </c>
      <c r="CX32" s="535" t="s">
        <v>292</v>
      </c>
      <c r="CY32" s="497">
        <v>3000</v>
      </c>
      <c r="CZ32" s="497">
        <v>3000</v>
      </c>
      <c r="DA32" s="497">
        <v>3000</v>
      </c>
      <c r="DB32" s="497">
        <v>3000</v>
      </c>
      <c r="DC32" s="497">
        <v>3000</v>
      </c>
      <c r="DD32" s="497">
        <v>3000</v>
      </c>
      <c r="DE32" s="497">
        <v>3000</v>
      </c>
      <c r="DF32" s="497">
        <v>3000</v>
      </c>
      <c r="DG32" s="497">
        <v>3000</v>
      </c>
      <c r="DH32" s="497">
        <v>3000</v>
      </c>
      <c r="DI32" s="497">
        <v>3000</v>
      </c>
      <c r="DJ32" s="524">
        <v>3000</v>
      </c>
      <c r="DK32" s="537" t="s">
        <v>292</v>
      </c>
      <c r="DL32" s="536">
        <v>20000</v>
      </c>
      <c r="DM32" s="536">
        <v>20000</v>
      </c>
      <c r="DN32" s="536">
        <v>20000</v>
      </c>
      <c r="DO32" s="536">
        <v>20000</v>
      </c>
      <c r="DP32" s="536">
        <v>20000</v>
      </c>
      <c r="DQ32" s="536">
        <v>20000</v>
      </c>
      <c r="DR32" s="536">
        <v>20000</v>
      </c>
      <c r="DS32" s="536">
        <v>20000</v>
      </c>
      <c r="DT32" s="536">
        <v>20000</v>
      </c>
      <c r="DU32" s="536">
        <v>20000</v>
      </c>
      <c r="DV32" s="536">
        <v>20000</v>
      </c>
      <c r="DW32" s="536">
        <v>20000</v>
      </c>
      <c r="DX32" s="535" t="s">
        <v>292</v>
      </c>
      <c r="DY32" s="497">
        <v>15000</v>
      </c>
      <c r="DZ32" s="497">
        <v>15000</v>
      </c>
      <c r="EA32" s="497">
        <v>15000</v>
      </c>
      <c r="EB32" s="497">
        <v>15000</v>
      </c>
      <c r="EC32" s="497">
        <v>15000</v>
      </c>
      <c r="ED32" s="497">
        <v>15000</v>
      </c>
      <c r="EE32" s="497">
        <v>15000</v>
      </c>
      <c r="EF32" s="497">
        <v>15000</v>
      </c>
      <c r="EG32" s="497">
        <v>15000</v>
      </c>
      <c r="EH32" s="497">
        <v>15000</v>
      </c>
      <c r="EI32" s="497">
        <v>15000</v>
      </c>
      <c r="EJ32" s="524">
        <v>15000</v>
      </c>
      <c r="EK32" s="537" t="s">
        <v>292</v>
      </c>
      <c r="EL32" s="497"/>
      <c r="EM32" s="497"/>
      <c r="EN32" s="497"/>
      <c r="EO32" s="497"/>
      <c r="EP32" s="497"/>
      <c r="EQ32" s="497"/>
      <c r="ER32" s="497"/>
      <c r="ES32" s="497"/>
      <c r="ET32" s="497"/>
      <c r="EU32" s="497"/>
      <c r="EV32" s="497"/>
      <c r="EW32" s="536"/>
      <c r="EX32" s="535" t="s">
        <v>292</v>
      </c>
      <c r="EY32" s="497"/>
      <c r="EZ32" s="497"/>
      <c r="FA32" s="497"/>
      <c r="FB32" s="497"/>
      <c r="FC32" s="497"/>
      <c r="FD32" s="497"/>
      <c r="FE32" s="497"/>
      <c r="FF32" s="497"/>
      <c r="FG32" s="497"/>
      <c r="FH32" s="497"/>
      <c r="FI32" s="497"/>
      <c r="FJ32" s="538"/>
      <c r="FK32" s="537" t="s">
        <v>292</v>
      </c>
      <c r="FL32" s="536">
        <v>2000000</v>
      </c>
      <c r="FM32" s="497">
        <v>2100000</v>
      </c>
      <c r="FN32" s="497">
        <v>2100000</v>
      </c>
      <c r="FO32" s="497"/>
      <c r="FP32" s="497"/>
      <c r="FQ32" s="497"/>
      <c r="FR32" s="497"/>
      <c r="FS32" s="497"/>
      <c r="FT32" s="497"/>
      <c r="FU32" s="497"/>
      <c r="FV32" s="497"/>
      <c r="FW32" s="536"/>
      <c r="FX32" s="535" t="s">
        <v>292</v>
      </c>
      <c r="FY32" s="497">
        <f t="shared" si="22"/>
        <v>243000</v>
      </c>
      <c r="FZ32" s="497">
        <f t="shared" si="22"/>
        <v>150000</v>
      </c>
      <c r="GA32" s="497">
        <f t="shared" si="22"/>
        <v>0</v>
      </c>
      <c r="GB32" s="497">
        <f t="shared" si="22"/>
        <v>0</v>
      </c>
      <c r="GC32" s="497">
        <f t="shared" si="22"/>
        <v>0</v>
      </c>
      <c r="GD32" s="497">
        <f t="shared" si="22"/>
        <v>0</v>
      </c>
      <c r="GE32" s="497">
        <f t="shared" si="22"/>
        <v>0</v>
      </c>
      <c r="GF32" s="497">
        <f t="shared" si="22"/>
        <v>0</v>
      </c>
      <c r="GG32" s="497">
        <f t="shared" si="22"/>
        <v>0</v>
      </c>
      <c r="GH32" s="497">
        <f t="shared" si="22"/>
        <v>0</v>
      </c>
      <c r="GI32" s="497">
        <f t="shared" si="22"/>
        <v>0</v>
      </c>
      <c r="GJ32" s="497">
        <f t="shared" si="22"/>
        <v>0</v>
      </c>
      <c r="GK32" s="537" t="s">
        <v>292</v>
      </c>
      <c r="GL32" s="497">
        <f t="shared" si="53"/>
        <v>120000</v>
      </c>
      <c r="GM32" s="497">
        <f t="shared" si="53"/>
        <v>80000</v>
      </c>
      <c r="GN32" s="497">
        <f t="shared" si="53"/>
        <v>0</v>
      </c>
      <c r="GO32" s="497">
        <f t="shared" si="53"/>
        <v>0</v>
      </c>
      <c r="GP32" s="497">
        <f t="shared" si="53"/>
        <v>0</v>
      </c>
      <c r="GQ32" s="497">
        <f t="shared" si="53"/>
        <v>0</v>
      </c>
      <c r="GR32" s="497">
        <f t="shared" si="53"/>
        <v>0</v>
      </c>
      <c r="GS32" s="497">
        <f t="shared" si="53"/>
        <v>0</v>
      </c>
      <c r="GT32" s="497">
        <f t="shared" si="53"/>
        <v>0</v>
      </c>
      <c r="GU32" s="497">
        <f t="shared" si="53"/>
        <v>0</v>
      </c>
      <c r="GV32" s="497">
        <f t="shared" si="53"/>
        <v>0</v>
      </c>
      <c r="GW32" s="497">
        <f t="shared" si="53"/>
        <v>0</v>
      </c>
      <c r="GX32" s="537" t="s">
        <v>292</v>
      </c>
      <c r="GY32" s="173">
        <f>Y55</f>
        <v>1000</v>
      </c>
      <c r="GZ32" s="173">
        <f>U55</f>
        <v>15000</v>
      </c>
      <c r="HA32" s="173">
        <f>V55</f>
        <v>0</v>
      </c>
      <c r="HB32" s="173">
        <f>W55</f>
        <v>0</v>
      </c>
      <c r="HC32" s="534"/>
    </row>
    <row r="33" spans="1:211" ht="15.75" customHeight="1">
      <c r="A33" s="78">
        <v>25</v>
      </c>
      <c r="B33" s="934" t="s">
        <v>211</v>
      </c>
      <c r="C33" s="919" t="s">
        <v>213</v>
      </c>
      <c r="D33" s="660" t="s">
        <v>128</v>
      </c>
      <c r="E33" s="661">
        <v>8645</v>
      </c>
      <c r="F33" s="661">
        <v>8709</v>
      </c>
      <c r="G33" s="661">
        <v>8772</v>
      </c>
      <c r="H33" s="661"/>
      <c r="I33" s="661"/>
      <c r="J33" s="661"/>
      <c r="K33" s="661"/>
      <c r="L33" s="661"/>
      <c r="M33" s="661"/>
      <c r="N33" s="661"/>
      <c r="O33" s="661"/>
      <c r="P33" s="661"/>
      <c r="Q33" s="666"/>
      <c r="R33" s="89"/>
      <c r="S33" s="90"/>
      <c r="T33" s="90">
        <v>1800</v>
      </c>
      <c r="U33" s="90">
        <v>15000</v>
      </c>
      <c r="V33" s="90">
        <v>20000</v>
      </c>
      <c r="W33" s="90">
        <v>0</v>
      </c>
      <c r="X33" s="21" t="s">
        <v>131</v>
      </c>
      <c r="Y33" s="90">
        <v>500</v>
      </c>
      <c r="Z33" s="90">
        <v>3000</v>
      </c>
      <c r="AA33" s="498" t="s">
        <v>213</v>
      </c>
      <c r="AB33" s="90" t="s">
        <v>132</v>
      </c>
      <c r="AC33" s="534">
        <v>25</v>
      </c>
      <c r="AD33" s="534">
        <v>13</v>
      </c>
      <c r="AE33" s="534"/>
      <c r="AF33" s="534">
        <v>25</v>
      </c>
      <c r="AG33" s="535" t="s">
        <v>299</v>
      </c>
      <c r="AH33" s="535" t="str">
        <f>B57</f>
        <v>Dương Thị Yến</v>
      </c>
      <c r="AI33" s="497">
        <v>2537000</v>
      </c>
      <c r="AJ33" s="497">
        <f t="shared" si="60"/>
        <v>2599000</v>
      </c>
      <c r="AK33" s="497">
        <f t="shared" si="60"/>
        <v>2492000</v>
      </c>
      <c r="AL33" s="497">
        <f t="shared" si="60"/>
        <v>0</v>
      </c>
      <c r="AM33" s="497">
        <f t="shared" si="61"/>
        <v>0</v>
      </c>
      <c r="AN33" s="497">
        <f t="shared" si="62"/>
        <v>0</v>
      </c>
      <c r="AO33" s="497">
        <f t="shared" si="63"/>
        <v>0</v>
      </c>
      <c r="AP33" s="497">
        <f t="shared" si="64"/>
        <v>0</v>
      </c>
      <c r="AQ33" s="497">
        <f t="shared" si="65"/>
        <v>0</v>
      </c>
      <c r="AR33" s="497">
        <f t="shared" si="66"/>
        <v>0</v>
      </c>
      <c r="AS33" s="497">
        <f t="shared" si="67"/>
        <v>0</v>
      </c>
      <c r="AT33" s="497">
        <f t="shared" si="68"/>
        <v>0</v>
      </c>
      <c r="AU33" s="536">
        <f t="shared" si="69"/>
        <v>0</v>
      </c>
      <c r="AV33" s="537" t="s">
        <v>299</v>
      </c>
      <c r="AW33" s="497">
        <f t="shared" ref="AW33:BI33" si="78">E57</f>
        <v>1808</v>
      </c>
      <c r="AX33" s="497">
        <f t="shared" si="78"/>
        <v>1956</v>
      </c>
      <c r="AY33" s="497">
        <f t="shared" si="78"/>
        <v>2055</v>
      </c>
      <c r="AZ33" s="497">
        <f t="shared" si="78"/>
        <v>0</v>
      </c>
      <c r="BA33" s="497">
        <f t="shared" si="78"/>
        <v>0</v>
      </c>
      <c r="BB33" s="497">
        <f t="shared" si="78"/>
        <v>0</v>
      </c>
      <c r="BC33" s="497">
        <f t="shared" si="78"/>
        <v>0</v>
      </c>
      <c r="BD33" s="497">
        <f t="shared" si="78"/>
        <v>0</v>
      </c>
      <c r="BE33" s="497">
        <f t="shared" si="78"/>
        <v>0</v>
      </c>
      <c r="BF33" s="497">
        <f t="shared" si="78"/>
        <v>0</v>
      </c>
      <c r="BG33" s="497">
        <f t="shared" si="78"/>
        <v>0</v>
      </c>
      <c r="BH33" s="497">
        <f t="shared" si="78"/>
        <v>0</v>
      </c>
      <c r="BI33" s="524">
        <f t="shared" si="78"/>
        <v>0</v>
      </c>
      <c r="BJ33" s="537" t="s">
        <v>299</v>
      </c>
      <c r="BK33" s="497">
        <f t="shared" ref="BK33:BW33" si="79">E58</f>
        <v>82</v>
      </c>
      <c r="BL33" s="497">
        <f t="shared" si="79"/>
        <v>89</v>
      </c>
      <c r="BM33" s="497">
        <f t="shared" si="79"/>
        <v>93</v>
      </c>
      <c r="BN33" s="497">
        <f t="shared" si="79"/>
        <v>0</v>
      </c>
      <c r="BO33" s="497">
        <f t="shared" si="79"/>
        <v>0</v>
      </c>
      <c r="BP33" s="497">
        <f t="shared" si="79"/>
        <v>0</v>
      </c>
      <c r="BQ33" s="497">
        <f t="shared" si="79"/>
        <v>0</v>
      </c>
      <c r="BR33" s="497">
        <f t="shared" si="79"/>
        <v>0</v>
      </c>
      <c r="BS33" s="497">
        <f t="shared" si="79"/>
        <v>0</v>
      </c>
      <c r="BT33" s="497">
        <f t="shared" si="79"/>
        <v>0</v>
      </c>
      <c r="BU33" s="497">
        <f t="shared" si="79"/>
        <v>0</v>
      </c>
      <c r="BV33" s="497">
        <f t="shared" si="79"/>
        <v>0</v>
      </c>
      <c r="BW33" s="524">
        <f t="shared" si="79"/>
        <v>0</v>
      </c>
      <c r="BX33" s="537" t="s">
        <v>299</v>
      </c>
      <c r="BY33" s="497">
        <f t="shared" si="20"/>
        <v>148</v>
      </c>
      <c r="BZ33" s="497">
        <f t="shared" si="20"/>
        <v>99</v>
      </c>
      <c r="CA33" s="497">
        <f t="shared" si="20"/>
        <v>0</v>
      </c>
      <c r="CB33" s="497">
        <f t="shared" si="20"/>
        <v>0</v>
      </c>
      <c r="CC33" s="497">
        <f t="shared" si="20"/>
        <v>0</v>
      </c>
      <c r="CD33" s="497">
        <f t="shared" si="20"/>
        <v>0</v>
      </c>
      <c r="CE33" s="497">
        <f t="shared" si="20"/>
        <v>0</v>
      </c>
      <c r="CF33" s="497">
        <f t="shared" si="20"/>
        <v>0</v>
      </c>
      <c r="CG33" s="497">
        <f t="shared" si="20"/>
        <v>0</v>
      </c>
      <c r="CH33" s="497">
        <f t="shared" si="20"/>
        <v>0</v>
      </c>
      <c r="CI33" s="497">
        <f t="shared" si="20"/>
        <v>0</v>
      </c>
      <c r="CJ33" s="524">
        <f t="shared" si="20"/>
        <v>0</v>
      </c>
      <c r="CK33" s="537" t="s">
        <v>299</v>
      </c>
      <c r="CL33" s="497">
        <f t="shared" si="21"/>
        <v>7</v>
      </c>
      <c r="CM33" s="497">
        <f t="shared" si="21"/>
        <v>4</v>
      </c>
      <c r="CN33" s="497">
        <f t="shared" si="21"/>
        <v>0</v>
      </c>
      <c r="CO33" s="497">
        <f t="shared" si="21"/>
        <v>0</v>
      </c>
      <c r="CP33" s="497">
        <f t="shared" si="21"/>
        <v>0</v>
      </c>
      <c r="CQ33" s="497">
        <f t="shared" si="21"/>
        <v>0</v>
      </c>
      <c r="CR33" s="497">
        <f t="shared" si="21"/>
        <v>0</v>
      </c>
      <c r="CS33" s="497">
        <f t="shared" si="21"/>
        <v>0</v>
      </c>
      <c r="CT33" s="497">
        <f t="shared" si="21"/>
        <v>0</v>
      </c>
      <c r="CU33" s="497">
        <f t="shared" si="21"/>
        <v>0</v>
      </c>
      <c r="CV33" s="497">
        <f t="shared" si="21"/>
        <v>0</v>
      </c>
      <c r="CW33" s="536">
        <f t="shared" si="21"/>
        <v>0</v>
      </c>
      <c r="CX33" s="535" t="s">
        <v>299</v>
      </c>
      <c r="CY33" s="497">
        <v>3000</v>
      </c>
      <c r="CZ33" s="497">
        <v>3000</v>
      </c>
      <c r="DA33" s="497">
        <v>3000</v>
      </c>
      <c r="DB33" s="497">
        <v>3000</v>
      </c>
      <c r="DC33" s="497">
        <v>3000</v>
      </c>
      <c r="DD33" s="497">
        <v>3000</v>
      </c>
      <c r="DE33" s="497">
        <v>3000</v>
      </c>
      <c r="DF33" s="497">
        <v>3000</v>
      </c>
      <c r="DG33" s="497">
        <v>3000</v>
      </c>
      <c r="DH33" s="497">
        <v>3000</v>
      </c>
      <c r="DI33" s="497">
        <v>3000</v>
      </c>
      <c r="DJ33" s="524">
        <v>3000</v>
      </c>
      <c r="DK33" s="537" t="s">
        <v>299</v>
      </c>
      <c r="DL33" s="536">
        <v>20000</v>
      </c>
      <c r="DM33" s="536">
        <v>20000</v>
      </c>
      <c r="DN33" s="536">
        <v>20000</v>
      </c>
      <c r="DO33" s="536">
        <v>20000</v>
      </c>
      <c r="DP33" s="536">
        <v>20000</v>
      </c>
      <c r="DQ33" s="536">
        <v>20000</v>
      </c>
      <c r="DR33" s="536">
        <v>20000</v>
      </c>
      <c r="DS33" s="536">
        <v>20000</v>
      </c>
      <c r="DT33" s="536">
        <v>20000</v>
      </c>
      <c r="DU33" s="536">
        <v>20000</v>
      </c>
      <c r="DV33" s="536">
        <v>20000</v>
      </c>
      <c r="DW33" s="536">
        <v>20000</v>
      </c>
      <c r="DX33" s="535" t="s">
        <v>299</v>
      </c>
      <c r="DY33" s="497">
        <v>15000</v>
      </c>
      <c r="DZ33" s="497">
        <v>15000</v>
      </c>
      <c r="EA33" s="497">
        <v>15000</v>
      </c>
      <c r="EB33" s="497">
        <v>15000</v>
      </c>
      <c r="EC33" s="497">
        <v>15000</v>
      </c>
      <c r="ED33" s="497">
        <v>15000</v>
      </c>
      <c r="EE33" s="497">
        <v>15000</v>
      </c>
      <c r="EF33" s="497">
        <v>15000</v>
      </c>
      <c r="EG33" s="497">
        <v>15000</v>
      </c>
      <c r="EH33" s="497">
        <v>15000</v>
      </c>
      <c r="EI33" s="497">
        <v>15000</v>
      </c>
      <c r="EJ33" s="524">
        <v>15000</v>
      </c>
      <c r="EK33" s="537" t="s">
        <v>299</v>
      </c>
      <c r="EL33" s="497"/>
      <c r="EM33" s="497"/>
      <c r="EN33" s="497"/>
      <c r="EO33" s="497"/>
      <c r="EP33" s="497"/>
      <c r="EQ33" s="497"/>
      <c r="ER33" s="497"/>
      <c r="ES33" s="497"/>
      <c r="ET33" s="497"/>
      <c r="EU33" s="497"/>
      <c r="EV33" s="497"/>
      <c r="EW33" s="536"/>
      <c r="EX33" s="535" t="s">
        <v>299</v>
      </c>
      <c r="EY33" s="497"/>
      <c r="EZ33" s="497"/>
      <c r="FA33" s="497"/>
      <c r="FB33" s="497"/>
      <c r="FC33" s="497"/>
      <c r="FD33" s="497"/>
      <c r="FE33" s="497"/>
      <c r="FF33" s="497"/>
      <c r="FG33" s="497"/>
      <c r="FH33" s="497"/>
      <c r="FI33" s="497"/>
      <c r="FJ33" s="538"/>
      <c r="FK33" s="537" t="s">
        <v>299</v>
      </c>
      <c r="FL33" s="536">
        <v>2000000</v>
      </c>
      <c r="FM33" s="497">
        <v>2100000</v>
      </c>
      <c r="FN33" s="497">
        <v>2100000</v>
      </c>
      <c r="FO33" s="497"/>
      <c r="FP33" s="497"/>
      <c r="FQ33" s="497"/>
      <c r="FR33" s="497"/>
      <c r="FS33" s="497"/>
      <c r="FT33" s="497"/>
      <c r="FU33" s="497"/>
      <c r="FV33" s="497"/>
      <c r="FW33" s="536"/>
      <c r="FX33" s="535" t="s">
        <v>299</v>
      </c>
      <c r="FY33" s="497">
        <f t="shared" si="22"/>
        <v>444000</v>
      </c>
      <c r="FZ33" s="497">
        <f t="shared" si="22"/>
        <v>297000</v>
      </c>
      <c r="GA33" s="497">
        <f t="shared" si="22"/>
        <v>0</v>
      </c>
      <c r="GB33" s="497">
        <f t="shared" si="22"/>
        <v>0</v>
      </c>
      <c r="GC33" s="497">
        <f t="shared" si="22"/>
        <v>0</v>
      </c>
      <c r="GD33" s="497">
        <f t="shared" si="22"/>
        <v>0</v>
      </c>
      <c r="GE33" s="497">
        <f t="shared" si="22"/>
        <v>0</v>
      </c>
      <c r="GF33" s="497">
        <f t="shared" si="22"/>
        <v>0</v>
      </c>
      <c r="GG33" s="497">
        <f t="shared" si="22"/>
        <v>0</v>
      </c>
      <c r="GH33" s="497">
        <f t="shared" si="22"/>
        <v>0</v>
      </c>
      <c r="GI33" s="497">
        <f t="shared" si="22"/>
        <v>0</v>
      </c>
      <c r="GJ33" s="497">
        <f t="shared" si="22"/>
        <v>0</v>
      </c>
      <c r="GK33" s="537" t="s">
        <v>299</v>
      </c>
      <c r="GL33" s="497">
        <f t="shared" si="53"/>
        <v>140000</v>
      </c>
      <c r="GM33" s="497">
        <f t="shared" si="53"/>
        <v>80000</v>
      </c>
      <c r="GN33" s="497">
        <f t="shared" si="53"/>
        <v>0</v>
      </c>
      <c r="GO33" s="497">
        <f t="shared" si="53"/>
        <v>0</v>
      </c>
      <c r="GP33" s="497">
        <f t="shared" si="53"/>
        <v>0</v>
      </c>
      <c r="GQ33" s="497">
        <f t="shared" si="53"/>
        <v>0</v>
      </c>
      <c r="GR33" s="497">
        <f t="shared" si="53"/>
        <v>0</v>
      </c>
      <c r="GS33" s="497">
        <f t="shared" si="53"/>
        <v>0</v>
      </c>
      <c r="GT33" s="497">
        <f t="shared" si="53"/>
        <v>0</v>
      </c>
      <c r="GU33" s="497">
        <f t="shared" si="53"/>
        <v>0</v>
      </c>
      <c r="GV33" s="497">
        <f t="shared" si="53"/>
        <v>0</v>
      </c>
      <c r="GW33" s="497">
        <f t="shared" si="53"/>
        <v>0</v>
      </c>
      <c r="GX33" s="537" t="s">
        <v>299</v>
      </c>
      <c r="GY33" s="173">
        <f>Y57</f>
        <v>1000</v>
      </c>
      <c r="GZ33" s="173">
        <f>U57</f>
        <v>15000</v>
      </c>
      <c r="HA33" s="173">
        <f>V57</f>
        <v>0</v>
      </c>
      <c r="HB33" s="173">
        <f>W57</f>
        <v>0</v>
      </c>
      <c r="HC33" s="530"/>
    </row>
    <row r="34" spans="1:211" ht="15.75" customHeight="1">
      <c r="A34" s="95">
        <v>26</v>
      </c>
      <c r="B34" s="935"/>
      <c r="C34" s="920"/>
      <c r="D34" s="660" t="s">
        <v>139</v>
      </c>
      <c r="E34" s="661">
        <v>906</v>
      </c>
      <c r="F34" s="661">
        <v>912</v>
      </c>
      <c r="G34" s="661">
        <v>917</v>
      </c>
      <c r="H34" s="661"/>
      <c r="I34" s="661"/>
      <c r="J34" s="661"/>
      <c r="K34" s="661"/>
      <c r="L34" s="661"/>
      <c r="M34" s="661"/>
      <c r="N34" s="661"/>
      <c r="O34" s="661"/>
      <c r="P34" s="661"/>
      <c r="Q34" s="666"/>
      <c r="R34" s="89"/>
      <c r="S34" s="90"/>
      <c r="T34" s="90"/>
      <c r="U34" s="90"/>
      <c r="V34" s="90"/>
      <c r="W34" s="90"/>
      <c r="X34" s="21"/>
      <c r="Y34" s="90"/>
      <c r="Z34" s="90">
        <v>20000</v>
      </c>
      <c r="AA34" s="498" t="s">
        <v>213</v>
      </c>
      <c r="AB34" s="90" t="s">
        <v>132</v>
      </c>
      <c r="AC34" s="534">
        <v>26</v>
      </c>
      <c r="AD34" s="534"/>
      <c r="AE34" s="534">
        <v>13</v>
      </c>
      <c r="AF34" s="534">
        <v>26</v>
      </c>
      <c r="AG34" s="535" t="s">
        <v>301</v>
      </c>
      <c r="AH34" s="535" t="str">
        <f>B59</f>
        <v>Dương Thị Lệ Thu</v>
      </c>
      <c r="AI34" s="497">
        <v>2784000</v>
      </c>
      <c r="AJ34" s="497">
        <f t="shared" si="60"/>
        <v>2810000</v>
      </c>
      <c r="AK34" s="497">
        <f t="shared" si="60"/>
        <v>2995000</v>
      </c>
      <c r="AL34" s="497">
        <f t="shared" si="60"/>
        <v>0</v>
      </c>
      <c r="AM34" s="497">
        <f t="shared" si="61"/>
        <v>0</v>
      </c>
      <c r="AN34" s="497">
        <f t="shared" si="62"/>
        <v>0</v>
      </c>
      <c r="AO34" s="497">
        <f t="shared" si="63"/>
        <v>0</v>
      </c>
      <c r="AP34" s="497">
        <f t="shared" si="64"/>
        <v>0</v>
      </c>
      <c r="AQ34" s="497">
        <f t="shared" si="65"/>
        <v>0</v>
      </c>
      <c r="AR34" s="497">
        <f t="shared" si="66"/>
        <v>0</v>
      </c>
      <c r="AS34" s="497">
        <f t="shared" si="67"/>
        <v>0</v>
      </c>
      <c r="AT34" s="497">
        <f t="shared" si="68"/>
        <v>0</v>
      </c>
      <c r="AU34" s="536">
        <f t="shared" si="69"/>
        <v>0</v>
      </c>
      <c r="AV34" s="537" t="s">
        <v>301</v>
      </c>
      <c r="AW34" s="497">
        <f t="shared" ref="AW34:BI34" si="80">E59</f>
        <v>2735</v>
      </c>
      <c r="AX34" s="497">
        <f t="shared" si="80"/>
        <v>2960</v>
      </c>
      <c r="AY34" s="497">
        <f t="shared" si="80"/>
        <v>3200</v>
      </c>
      <c r="AZ34" s="497">
        <f t="shared" si="80"/>
        <v>0</v>
      </c>
      <c r="BA34" s="497">
        <f t="shared" si="80"/>
        <v>0</v>
      </c>
      <c r="BB34" s="497">
        <f t="shared" si="80"/>
        <v>0</v>
      </c>
      <c r="BC34" s="497">
        <f t="shared" si="80"/>
        <v>0</v>
      </c>
      <c r="BD34" s="497">
        <f t="shared" si="80"/>
        <v>0</v>
      </c>
      <c r="BE34" s="497">
        <f t="shared" si="80"/>
        <v>0</v>
      </c>
      <c r="BF34" s="497">
        <f t="shared" si="80"/>
        <v>0</v>
      </c>
      <c r="BG34" s="497">
        <f t="shared" si="80"/>
        <v>0</v>
      </c>
      <c r="BH34" s="497">
        <f t="shared" si="80"/>
        <v>0</v>
      </c>
      <c r="BI34" s="524">
        <f t="shared" si="80"/>
        <v>0</v>
      </c>
      <c r="BJ34" s="537" t="s">
        <v>301</v>
      </c>
      <c r="BK34" s="497">
        <f t="shared" ref="BK34:BW34" si="81">E60</f>
        <v>136</v>
      </c>
      <c r="BL34" s="497">
        <f t="shared" si="81"/>
        <v>142</v>
      </c>
      <c r="BM34" s="497">
        <f t="shared" si="81"/>
        <v>150</v>
      </c>
      <c r="BN34" s="497">
        <f t="shared" si="81"/>
        <v>0</v>
      </c>
      <c r="BO34" s="497">
        <f t="shared" si="81"/>
        <v>0</v>
      </c>
      <c r="BP34" s="497">
        <f t="shared" si="81"/>
        <v>0</v>
      </c>
      <c r="BQ34" s="497">
        <f t="shared" si="81"/>
        <v>0</v>
      </c>
      <c r="BR34" s="497">
        <f t="shared" si="81"/>
        <v>0</v>
      </c>
      <c r="BS34" s="497">
        <f t="shared" si="81"/>
        <v>0</v>
      </c>
      <c r="BT34" s="497">
        <f t="shared" si="81"/>
        <v>0</v>
      </c>
      <c r="BU34" s="497">
        <f t="shared" si="81"/>
        <v>0</v>
      </c>
      <c r="BV34" s="497">
        <f t="shared" si="81"/>
        <v>0</v>
      </c>
      <c r="BW34" s="524">
        <f t="shared" si="81"/>
        <v>0</v>
      </c>
      <c r="BX34" s="537" t="s">
        <v>301</v>
      </c>
      <c r="BY34" s="497">
        <f t="shared" si="20"/>
        <v>225</v>
      </c>
      <c r="BZ34" s="497">
        <f t="shared" si="20"/>
        <v>240</v>
      </c>
      <c r="CA34" s="497">
        <f t="shared" si="20"/>
        <v>0</v>
      </c>
      <c r="CB34" s="497">
        <f t="shared" si="20"/>
        <v>0</v>
      </c>
      <c r="CC34" s="497">
        <f t="shared" si="20"/>
        <v>0</v>
      </c>
      <c r="CD34" s="497">
        <f t="shared" si="20"/>
        <v>0</v>
      </c>
      <c r="CE34" s="497">
        <f t="shared" si="20"/>
        <v>0</v>
      </c>
      <c r="CF34" s="497">
        <f t="shared" si="20"/>
        <v>0</v>
      </c>
      <c r="CG34" s="497">
        <f t="shared" si="20"/>
        <v>0</v>
      </c>
      <c r="CH34" s="497">
        <f t="shared" si="20"/>
        <v>0</v>
      </c>
      <c r="CI34" s="497">
        <f t="shared" si="20"/>
        <v>0</v>
      </c>
      <c r="CJ34" s="524">
        <f t="shared" si="20"/>
        <v>0</v>
      </c>
      <c r="CK34" s="537" t="s">
        <v>301</v>
      </c>
      <c r="CL34" s="497">
        <f t="shared" si="21"/>
        <v>6</v>
      </c>
      <c r="CM34" s="497">
        <f t="shared" si="21"/>
        <v>8</v>
      </c>
      <c r="CN34" s="497">
        <f t="shared" si="21"/>
        <v>0</v>
      </c>
      <c r="CO34" s="497">
        <f t="shared" si="21"/>
        <v>0</v>
      </c>
      <c r="CP34" s="497">
        <f t="shared" si="21"/>
        <v>0</v>
      </c>
      <c r="CQ34" s="497">
        <f t="shared" si="21"/>
        <v>0</v>
      </c>
      <c r="CR34" s="497">
        <f t="shared" si="21"/>
        <v>0</v>
      </c>
      <c r="CS34" s="497">
        <f t="shared" si="21"/>
        <v>0</v>
      </c>
      <c r="CT34" s="497">
        <f t="shared" si="21"/>
        <v>0</v>
      </c>
      <c r="CU34" s="497">
        <f t="shared" si="21"/>
        <v>0</v>
      </c>
      <c r="CV34" s="497">
        <f t="shared" si="21"/>
        <v>0</v>
      </c>
      <c r="CW34" s="536">
        <f t="shared" si="21"/>
        <v>0</v>
      </c>
      <c r="CX34" s="535" t="s">
        <v>301</v>
      </c>
      <c r="CY34" s="497">
        <v>3000</v>
      </c>
      <c r="CZ34" s="497">
        <v>3000</v>
      </c>
      <c r="DA34" s="497">
        <v>3000</v>
      </c>
      <c r="DB34" s="497">
        <v>3000</v>
      </c>
      <c r="DC34" s="497">
        <v>3000</v>
      </c>
      <c r="DD34" s="497">
        <v>3000</v>
      </c>
      <c r="DE34" s="497">
        <v>3000</v>
      </c>
      <c r="DF34" s="497">
        <v>3000</v>
      </c>
      <c r="DG34" s="497">
        <v>3000</v>
      </c>
      <c r="DH34" s="497">
        <v>3000</v>
      </c>
      <c r="DI34" s="497">
        <v>3000</v>
      </c>
      <c r="DJ34" s="524">
        <v>3000</v>
      </c>
      <c r="DK34" s="537" t="s">
        <v>301</v>
      </c>
      <c r="DL34" s="536">
        <v>20000</v>
      </c>
      <c r="DM34" s="536">
        <v>20000</v>
      </c>
      <c r="DN34" s="536">
        <v>20000</v>
      </c>
      <c r="DO34" s="536">
        <v>20000</v>
      </c>
      <c r="DP34" s="536">
        <v>20000</v>
      </c>
      <c r="DQ34" s="536">
        <v>20000</v>
      </c>
      <c r="DR34" s="536">
        <v>20000</v>
      </c>
      <c r="DS34" s="536">
        <v>20000</v>
      </c>
      <c r="DT34" s="536">
        <v>20000</v>
      </c>
      <c r="DU34" s="536">
        <v>20000</v>
      </c>
      <c r="DV34" s="536">
        <v>20000</v>
      </c>
      <c r="DW34" s="536">
        <v>20000</v>
      </c>
      <c r="DX34" s="535" t="s">
        <v>301</v>
      </c>
      <c r="DY34" s="497">
        <v>15000</v>
      </c>
      <c r="DZ34" s="497">
        <v>15000</v>
      </c>
      <c r="EA34" s="497">
        <v>15000</v>
      </c>
      <c r="EB34" s="497">
        <v>15000</v>
      </c>
      <c r="EC34" s="497">
        <v>15000</v>
      </c>
      <c r="ED34" s="497">
        <v>15000</v>
      </c>
      <c r="EE34" s="497">
        <v>15000</v>
      </c>
      <c r="EF34" s="497">
        <v>15000</v>
      </c>
      <c r="EG34" s="497">
        <v>15000</v>
      </c>
      <c r="EH34" s="497">
        <v>15000</v>
      </c>
      <c r="EI34" s="497">
        <v>15000</v>
      </c>
      <c r="EJ34" s="524">
        <v>15000</v>
      </c>
      <c r="EK34" s="537" t="s">
        <v>301</v>
      </c>
      <c r="EL34" s="497"/>
      <c r="EM34" s="497"/>
      <c r="EN34" s="497"/>
      <c r="EO34" s="497"/>
      <c r="EP34" s="497"/>
      <c r="EQ34" s="497"/>
      <c r="ER34" s="497"/>
      <c r="ES34" s="497"/>
      <c r="ET34" s="497"/>
      <c r="EU34" s="497"/>
      <c r="EV34" s="497"/>
      <c r="EW34" s="536"/>
      <c r="EX34" s="535" t="s">
        <v>301</v>
      </c>
      <c r="EY34" s="497"/>
      <c r="EZ34" s="497"/>
      <c r="FA34" s="497"/>
      <c r="FB34" s="497"/>
      <c r="FC34" s="497"/>
      <c r="FD34" s="497"/>
      <c r="FE34" s="497"/>
      <c r="FF34" s="497"/>
      <c r="FG34" s="497"/>
      <c r="FH34" s="497"/>
      <c r="FI34" s="497"/>
      <c r="FJ34" s="538"/>
      <c r="FK34" s="537" t="s">
        <v>301</v>
      </c>
      <c r="FL34" s="536">
        <v>2000000</v>
      </c>
      <c r="FM34" s="497">
        <v>2100000</v>
      </c>
      <c r="FN34" s="497">
        <v>2100000</v>
      </c>
      <c r="FO34" s="497"/>
      <c r="FP34" s="497"/>
      <c r="FQ34" s="497"/>
      <c r="FR34" s="497"/>
      <c r="FS34" s="497"/>
      <c r="FT34" s="497"/>
      <c r="FU34" s="497"/>
      <c r="FV34" s="497"/>
      <c r="FW34" s="536"/>
      <c r="FX34" s="535" t="s">
        <v>301</v>
      </c>
      <c r="FY34" s="497">
        <f t="shared" si="22"/>
        <v>675000</v>
      </c>
      <c r="FZ34" s="497">
        <f t="shared" si="22"/>
        <v>720000</v>
      </c>
      <c r="GA34" s="497">
        <f t="shared" si="22"/>
        <v>0</v>
      </c>
      <c r="GB34" s="497">
        <f t="shared" si="22"/>
        <v>0</v>
      </c>
      <c r="GC34" s="497">
        <f t="shared" si="22"/>
        <v>0</v>
      </c>
      <c r="GD34" s="497">
        <f t="shared" si="22"/>
        <v>0</v>
      </c>
      <c r="GE34" s="497">
        <f t="shared" si="22"/>
        <v>0</v>
      </c>
      <c r="GF34" s="497">
        <f t="shared" si="22"/>
        <v>0</v>
      </c>
      <c r="GG34" s="497">
        <f t="shared" si="22"/>
        <v>0</v>
      </c>
      <c r="GH34" s="497">
        <f t="shared" si="22"/>
        <v>0</v>
      </c>
      <c r="GI34" s="497">
        <f t="shared" si="22"/>
        <v>0</v>
      </c>
      <c r="GJ34" s="497">
        <f t="shared" si="22"/>
        <v>0</v>
      </c>
      <c r="GK34" s="537" t="s">
        <v>301</v>
      </c>
      <c r="GL34" s="497">
        <f t="shared" si="53"/>
        <v>120000</v>
      </c>
      <c r="GM34" s="497">
        <f t="shared" si="53"/>
        <v>160000</v>
      </c>
      <c r="GN34" s="497">
        <f t="shared" si="53"/>
        <v>0</v>
      </c>
      <c r="GO34" s="497">
        <f t="shared" si="53"/>
        <v>0</v>
      </c>
      <c r="GP34" s="497">
        <f t="shared" si="53"/>
        <v>0</v>
      </c>
      <c r="GQ34" s="497">
        <f t="shared" si="53"/>
        <v>0</v>
      </c>
      <c r="GR34" s="497">
        <f t="shared" si="53"/>
        <v>0</v>
      </c>
      <c r="GS34" s="497">
        <f t="shared" si="53"/>
        <v>0</v>
      </c>
      <c r="GT34" s="497">
        <f t="shared" si="53"/>
        <v>0</v>
      </c>
      <c r="GU34" s="497">
        <f t="shared" si="53"/>
        <v>0</v>
      </c>
      <c r="GV34" s="497">
        <f t="shared" si="53"/>
        <v>0</v>
      </c>
      <c r="GW34" s="497">
        <f t="shared" si="53"/>
        <v>0</v>
      </c>
      <c r="GX34" s="537" t="s">
        <v>301</v>
      </c>
      <c r="GY34" s="173">
        <f>Y59</f>
        <v>1000</v>
      </c>
      <c r="GZ34" s="173">
        <f>U59</f>
        <v>15000</v>
      </c>
      <c r="HA34" s="173">
        <f>V59</f>
        <v>0</v>
      </c>
      <c r="HB34" s="173">
        <f>W59</f>
        <v>0</v>
      </c>
      <c r="HC34" s="534"/>
    </row>
    <row r="35" spans="1:211" ht="15.75" customHeight="1">
      <c r="A35" s="78">
        <v>27</v>
      </c>
      <c r="B35" s="936" t="s">
        <v>838</v>
      </c>
      <c r="C35" s="921" t="s">
        <v>220</v>
      </c>
      <c r="D35" s="662" t="s">
        <v>128</v>
      </c>
      <c r="E35" s="302">
        <v>7185</v>
      </c>
      <c r="F35" s="302">
        <v>7241</v>
      </c>
      <c r="G35" s="302">
        <v>7274</v>
      </c>
      <c r="H35" s="302"/>
      <c r="I35" s="302"/>
      <c r="J35" s="302"/>
      <c r="K35" s="302"/>
      <c r="L35" s="302"/>
      <c r="M35" s="302"/>
      <c r="N35" s="302"/>
      <c r="O35" s="302"/>
      <c r="P35" s="302"/>
      <c r="Q35" s="305"/>
      <c r="R35" s="90"/>
      <c r="S35" s="90"/>
      <c r="T35" s="90">
        <v>1600</v>
      </c>
      <c r="U35" s="90">
        <v>15000</v>
      </c>
      <c r="V35" s="90">
        <v>0</v>
      </c>
      <c r="W35" s="90">
        <v>0</v>
      </c>
      <c r="X35" s="21" t="s">
        <v>131</v>
      </c>
      <c r="Y35" s="90">
        <v>1000</v>
      </c>
      <c r="Z35" s="90">
        <v>3000</v>
      </c>
      <c r="AA35" s="498" t="s">
        <v>220</v>
      </c>
      <c r="AB35" s="90" t="s">
        <v>132</v>
      </c>
      <c r="AC35" s="534">
        <v>27</v>
      </c>
      <c r="AD35" s="534">
        <v>14</v>
      </c>
      <c r="AE35" s="534"/>
      <c r="AF35" s="534">
        <v>27</v>
      </c>
      <c r="AG35" s="535" t="s">
        <v>303</v>
      </c>
      <c r="AH35" s="535" t="str">
        <f>B61</f>
        <v>Ngô Ngọc Bảo Vi</v>
      </c>
      <c r="AI35" s="497">
        <v>4015000</v>
      </c>
      <c r="AJ35" s="497">
        <f t="shared" si="60"/>
        <v>4015000</v>
      </c>
      <c r="AK35" s="497">
        <f t="shared" si="60"/>
        <v>4015000</v>
      </c>
      <c r="AL35" s="497">
        <f t="shared" si="60"/>
        <v>0</v>
      </c>
      <c r="AM35" s="497">
        <f t="shared" si="61"/>
        <v>0</v>
      </c>
      <c r="AN35" s="497">
        <f t="shared" si="62"/>
        <v>0</v>
      </c>
      <c r="AO35" s="497">
        <f t="shared" si="63"/>
        <v>0</v>
      </c>
      <c r="AP35" s="497">
        <f t="shared" si="64"/>
        <v>0</v>
      </c>
      <c r="AQ35" s="497">
        <f t="shared" si="65"/>
        <v>0</v>
      </c>
      <c r="AR35" s="497">
        <f t="shared" si="66"/>
        <v>0</v>
      </c>
      <c r="AS35" s="497">
        <f t="shared" si="67"/>
        <v>0</v>
      </c>
      <c r="AT35" s="497">
        <f t="shared" si="68"/>
        <v>0</v>
      </c>
      <c r="AU35" s="536">
        <f t="shared" si="69"/>
        <v>0</v>
      </c>
      <c r="AV35" s="537" t="s">
        <v>303</v>
      </c>
      <c r="AW35" s="497">
        <f t="shared" ref="AW35:BI35" si="82">E61</f>
        <v>0</v>
      </c>
      <c r="AX35" s="497">
        <f t="shared" si="82"/>
        <v>0</v>
      </c>
      <c r="AY35" s="497">
        <f t="shared" si="82"/>
        <v>0</v>
      </c>
      <c r="AZ35" s="497">
        <f t="shared" si="82"/>
        <v>0</v>
      </c>
      <c r="BA35" s="497">
        <f t="shared" si="82"/>
        <v>0</v>
      </c>
      <c r="BB35" s="497">
        <f t="shared" si="82"/>
        <v>0</v>
      </c>
      <c r="BC35" s="497">
        <f t="shared" si="82"/>
        <v>0</v>
      </c>
      <c r="BD35" s="497">
        <f t="shared" si="82"/>
        <v>0</v>
      </c>
      <c r="BE35" s="497">
        <f t="shared" si="82"/>
        <v>0</v>
      </c>
      <c r="BF35" s="497">
        <f t="shared" si="82"/>
        <v>0</v>
      </c>
      <c r="BG35" s="497">
        <f t="shared" si="82"/>
        <v>0</v>
      </c>
      <c r="BH35" s="497">
        <f t="shared" si="82"/>
        <v>0</v>
      </c>
      <c r="BI35" s="524">
        <f t="shared" si="82"/>
        <v>0</v>
      </c>
      <c r="BJ35" s="537" t="s">
        <v>303</v>
      </c>
      <c r="BK35" s="497">
        <f t="shared" ref="BK35:BW35" si="83">E62</f>
        <v>0</v>
      </c>
      <c r="BL35" s="497">
        <f t="shared" si="83"/>
        <v>0</v>
      </c>
      <c r="BM35" s="497">
        <f t="shared" si="83"/>
        <v>0</v>
      </c>
      <c r="BN35" s="497">
        <f t="shared" si="83"/>
        <v>0</v>
      </c>
      <c r="BO35" s="497">
        <f t="shared" si="83"/>
        <v>0</v>
      </c>
      <c r="BP35" s="497">
        <f t="shared" si="83"/>
        <v>0</v>
      </c>
      <c r="BQ35" s="497">
        <f t="shared" si="83"/>
        <v>0</v>
      </c>
      <c r="BR35" s="497">
        <f t="shared" si="83"/>
        <v>0</v>
      </c>
      <c r="BS35" s="497">
        <f t="shared" si="83"/>
        <v>0</v>
      </c>
      <c r="BT35" s="497">
        <f t="shared" si="83"/>
        <v>0</v>
      </c>
      <c r="BU35" s="497">
        <f t="shared" si="83"/>
        <v>0</v>
      </c>
      <c r="BV35" s="497">
        <f t="shared" si="83"/>
        <v>0</v>
      </c>
      <c r="BW35" s="524">
        <f t="shared" si="83"/>
        <v>0</v>
      </c>
      <c r="BX35" s="537" t="s">
        <v>303</v>
      </c>
      <c r="BY35" s="497">
        <f t="shared" si="20"/>
        <v>0</v>
      </c>
      <c r="BZ35" s="497">
        <f t="shared" si="20"/>
        <v>0</v>
      </c>
      <c r="CA35" s="497">
        <f t="shared" si="20"/>
        <v>0</v>
      </c>
      <c r="CB35" s="497">
        <f t="shared" si="20"/>
        <v>0</v>
      </c>
      <c r="CC35" s="497">
        <f t="shared" si="20"/>
        <v>0</v>
      </c>
      <c r="CD35" s="497">
        <f t="shared" si="20"/>
        <v>0</v>
      </c>
      <c r="CE35" s="497">
        <f t="shared" si="20"/>
        <v>0</v>
      </c>
      <c r="CF35" s="497">
        <f t="shared" si="20"/>
        <v>0</v>
      </c>
      <c r="CG35" s="497">
        <f t="shared" si="20"/>
        <v>0</v>
      </c>
      <c r="CH35" s="497">
        <f t="shared" si="20"/>
        <v>0</v>
      </c>
      <c r="CI35" s="497">
        <f t="shared" si="20"/>
        <v>0</v>
      </c>
      <c r="CJ35" s="524">
        <f t="shared" si="20"/>
        <v>0</v>
      </c>
      <c r="CK35" s="537" t="s">
        <v>303</v>
      </c>
      <c r="CL35" s="497">
        <f t="shared" si="21"/>
        <v>0</v>
      </c>
      <c r="CM35" s="497">
        <f t="shared" si="21"/>
        <v>0</v>
      </c>
      <c r="CN35" s="497">
        <f t="shared" si="21"/>
        <v>0</v>
      </c>
      <c r="CO35" s="497">
        <f t="shared" si="21"/>
        <v>0</v>
      </c>
      <c r="CP35" s="497">
        <f t="shared" si="21"/>
        <v>0</v>
      </c>
      <c r="CQ35" s="497">
        <f t="shared" si="21"/>
        <v>0</v>
      </c>
      <c r="CR35" s="497">
        <f t="shared" si="21"/>
        <v>0</v>
      </c>
      <c r="CS35" s="497">
        <f t="shared" si="21"/>
        <v>0</v>
      </c>
      <c r="CT35" s="497">
        <f t="shared" si="21"/>
        <v>0</v>
      </c>
      <c r="CU35" s="497">
        <f t="shared" si="21"/>
        <v>0</v>
      </c>
      <c r="CV35" s="497">
        <f t="shared" si="21"/>
        <v>0</v>
      </c>
      <c r="CW35" s="536">
        <f t="shared" si="21"/>
        <v>0</v>
      </c>
      <c r="CX35" s="535" t="s">
        <v>303</v>
      </c>
      <c r="CY35" s="497">
        <v>3000</v>
      </c>
      <c r="CZ35" s="497">
        <v>3000</v>
      </c>
      <c r="DA35" s="497">
        <v>3000</v>
      </c>
      <c r="DB35" s="497">
        <v>3000</v>
      </c>
      <c r="DC35" s="497">
        <v>3000</v>
      </c>
      <c r="DD35" s="497">
        <v>3000</v>
      </c>
      <c r="DE35" s="497">
        <v>3000</v>
      </c>
      <c r="DF35" s="497">
        <v>3000</v>
      </c>
      <c r="DG35" s="497">
        <v>3000</v>
      </c>
      <c r="DH35" s="497">
        <v>3000</v>
      </c>
      <c r="DI35" s="497">
        <v>3000</v>
      </c>
      <c r="DJ35" s="524">
        <v>3000</v>
      </c>
      <c r="DK35" s="537" t="s">
        <v>303</v>
      </c>
      <c r="DL35" s="536">
        <v>20000</v>
      </c>
      <c r="DM35" s="536">
        <v>20000</v>
      </c>
      <c r="DN35" s="536">
        <v>20000</v>
      </c>
      <c r="DO35" s="536">
        <v>20000</v>
      </c>
      <c r="DP35" s="536">
        <v>20000</v>
      </c>
      <c r="DQ35" s="536">
        <v>20000</v>
      </c>
      <c r="DR35" s="536">
        <v>20000</v>
      </c>
      <c r="DS35" s="536">
        <v>20000</v>
      </c>
      <c r="DT35" s="536">
        <v>20000</v>
      </c>
      <c r="DU35" s="536">
        <v>20000</v>
      </c>
      <c r="DV35" s="536">
        <v>20000</v>
      </c>
      <c r="DW35" s="536">
        <v>20000</v>
      </c>
      <c r="DX35" s="535" t="s">
        <v>303</v>
      </c>
      <c r="DY35" s="497">
        <v>15000</v>
      </c>
      <c r="DZ35" s="497">
        <v>15000</v>
      </c>
      <c r="EA35" s="497">
        <v>15000</v>
      </c>
      <c r="EB35" s="497">
        <v>15000</v>
      </c>
      <c r="EC35" s="497">
        <v>15000</v>
      </c>
      <c r="ED35" s="497">
        <v>15000</v>
      </c>
      <c r="EE35" s="497">
        <v>15000</v>
      </c>
      <c r="EF35" s="497">
        <v>15000</v>
      </c>
      <c r="EG35" s="497">
        <v>15000</v>
      </c>
      <c r="EH35" s="497">
        <v>15000</v>
      </c>
      <c r="EI35" s="497">
        <v>15000</v>
      </c>
      <c r="EJ35" s="524">
        <v>15000</v>
      </c>
      <c r="EK35" s="537" t="s">
        <v>303</v>
      </c>
      <c r="EL35" s="497"/>
      <c r="EM35" s="497"/>
      <c r="EN35" s="497"/>
      <c r="EO35" s="497"/>
      <c r="EP35" s="497"/>
      <c r="EQ35" s="497"/>
      <c r="ER35" s="497"/>
      <c r="ES35" s="497"/>
      <c r="ET35" s="497"/>
      <c r="EU35" s="497"/>
      <c r="EV35" s="497"/>
      <c r="EW35" s="536"/>
      <c r="EX35" s="535" t="s">
        <v>303</v>
      </c>
      <c r="EY35" s="497"/>
      <c r="EZ35" s="497"/>
      <c r="FA35" s="497"/>
      <c r="FB35" s="497"/>
      <c r="FC35" s="497"/>
      <c r="FD35" s="497"/>
      <c r="FE35" s="497"/>
      <c r="FF35" s="497"/>
      <c r="FG35" s="497"/>
      <c r="FH35" s="497"/>
      <c r="FI35" s="497"/>
      <c r="FJ35" s="538"/>
      <c r="FK35" s="537" t="s">
        <v>303</v>
      </c>
      <c r="FL35" s="536">
        <v>4000000</v>
      </c>
      <c r="FM35" s="536">
        <v>4000000</v>
      </c>
      <c r="FN35" s="536">
        <v>4000000</v>
      </c>
      <c r="FO35" s="497"/>
      <c r="FP35" s="497"/>
      <c r="FQ35" s="497"/>
      <c r="FR35" s="497"/>
      <c r="FS35" s="497"/>
      <c r="FT35" s="497"/>
      <c r="FU35" s="497"/>
      <c r="FV35" s="497"/>
      <c r="FW35" s="536"/>
      <c r="FX35" s="535" t="s">
        <v>303</v>
      </c>
      <c r="FY35" s="497">
        <f t="shared" si="22"/>
        <v>0</v>
      </c>
      <c r="FZ35" s="497">
        <f t="shared" si="22"/>
        <v>0</v>
      </c>
      <c r="GA35" s="497">
        <f t="shared" si="22"/>
        <v>0</v>
      </c>
      <c r="GB35" s="497">
        <f t="shared" si="22"/>
        <v>0</v>
      </c>
      <c r="GC35" s="497">
        <f t="shared" si="22"/>
        <v>0</v>
      </c>
      <c r="GD35" s="497">
        <f t="shared" si="22"/>
        <v>0</v>
      </c>
      <c r="GE35" s="497">
        <f t="shared" si="22"/>
        <v>0</v>
      </c>
      <c r="GF35" s="497">
        <f t="shared" si="22"/>
        <v>0</v>
      </c>
      <c r="GG35" s="497">
        <f t="shared" si="22"/>
        <v>0</v>
      </c>
      <c r="GH35" s="497">
        <f t="shared" si="22"/>
        <v>0</v>
      </c>
      <c r="GI35" s="497">
        <f t="shared" si="22"/>
        <v>0</v>
      </c>
      <c r="GJ35" s="497">
        <f t="shared" si="22"/>
        <v>0</v>
      </c>
      <c r="GK35" s="537" t="s">
        <v>303</v>
      </c>
      <c r="GL35" s="497">
        <f t="shared" si="53"/>
        <v>0</v>
      </c>
      <c r="GM35" s="497">
        <f t="shared" si="53"/>
        <v>0</v>
      </c>
      <c r="GN35" s="497">
        <f t="shared" si="53"/>
        <v>0</v>
      </c>
      <c r="GO35" s="497">
        <f t="shared" si="53"/>
        <v>0</v>
      </c>
      <c r="GP35" s="497">
        <f t="shared" si="53"/>
        <v>0</v>
      </c>
      <c r="GQ35" s="497">
        <f t="shared" si="53"/>
        <v>0</v>
      </c>
      <c r="GR35" s="497">
        <f t="shared" si="53"/>
        <v>0</v>
      </c>
      <c r="GS35" s="497">
        <f t="shared" si="53"/>
        <v>0</v>
      </c>
      <c r="GT35" s="497">
        <f t="shared" si="53"/>
        <v>0</v>
      </c>
      <c r="GU35" s="497">
        <f t="shared" si="53"/>
        <v>0</v>
      </c>
      <c r="GV35" s="497">
        <f t="shared" si="53"/>
        <v>0</v>
      </c>
      <c r="GW35" s="497">
        <f t="shared" si="53"/>
        <v>0</v>
      </c>
      <c r="GX35" s="537" t="s">
        <v>303</v>
      </c>
      <c r="GY35" s="173">
        <f>Y61</f>
        <v>6000</v>
      </c>
      <c r="GZ35" s="173">
        <f>U61</f>
        <v>15000</v>
      </c>
      <c r="HA35" s="173">
        <f>V61</f>
        <v>0</v>
      </c>
      <c r="HB35" s="173">
        <f>W61</f>
        <v>0</v>
      </c>
      <c r="HC35" s="534"/>
    </row>
    <row r="36" spans="1:211" ht="15.75" customHeight="1">
      <c r="A36" s="95">
        <v>28</v>
      </c>
      <c r="B36" s="935"/>
      <c r="C36" s="920"/>
      <c r="D36" s="662" t="s">
        <v>139</v>
      </c>
      <c r="E36" s="302">
        <v>804</v>
      </c>
      <c r="F36" s="302">
        <v>816</v>
      </c>
      <c r="G36" s="302">
        <v>825</v>
      </c>
      <c r="H36" s="302"/>
      <c r="I36" s="302"/>
      <c r="J36" s="302"/>
      <c r="K36" s="302"/>
      <c r="L36" s="302"/>
      <c r="M36" s="302"/>
      <c r="N36" s="302"/>
      <c r="O36" s="302"/>
      <c r="P36" s="302"/>
      <c r="Q36" s="305"/>
      <c r="R36" s="90"/>
      <c r="S36" s="90"/>
      <c r="T36" s="90"/>
      <c r="U36" s="90"/>
      <c r="V36" s="90"/>
      <c r="W36" s="90"/>
      <c r="X36" s="21"/>
      <c r="Y36" s="90"/>
      <c r="Z36" s="90">
        <v>20000</v>
      </c>
      <c r="AA36" s="498" t="s">
        <v>220</v>
      </c>
      <c r="AB36" s="90" t="s">
        <v>132</v>
      </c>
      <c r="AC36" s="534">
        <v>28</v>
      </c>
      <c r="AD36" s="534"/>
      <c r="AE36" s="534">
        <v>14</v>
      </c>
      <c r="AF36" s="534">
        <v>28</v>
      </c>
      <c r="AG36" s="535" t="s">
        <v>306</v>
      </c>
      <c r="AH36" s="535" t="str">
        <f>B63</f>
        <v>Đỗ Phương Thảo</v>
      </c>
      <c r="AI36" s="497">
        <v>2495000</v>
      </c>
      <c r="AJ36" s="497">
        <f t="shared" si="60"/>
        <v>2575000</v>
      </c>
      <c r="AK36" s="497">
        <f t="shared" si="60"/>
        <v>2475000</v>
      </c>
      <c r="AL36" s="497">
        <f t="shared" si="60"/>
        <v>0</v>
      </c>
      <c r="AM36" s="497">
        <f t="shared" si="61"/>
        <v>0</v>
      </c>
      <c r="AN36" s="497">
        <f t="shared" si="62"/>
        <v>0</v>
      </c>
      <c r="AO36" s="497">
        <f t="shared" si="63"/>
        <v>0</v>
      </c>
      <c r="AP36" s="497">
        <f t="shared" si="64"/>
        <v>0</v>
      </c>
      <c r="AQ36" s="497">
        <f t="shared" si="65"/>
        <v>0</v>
      </c>
      <c r="AR36" s="497">
        <f t="shared" si="66"/>
        <v>0</v>
      </c>
      <c r="AS36" s="497">
        <f t="shared" si="67"/>
        <v>0</v>
      </c>
      <c r="AT36" s="497">
        <f t="shared" si="68"/>
        <v>0</v>
      </c>
      <c r="AU36" s="536">
        <f t="shared" si="69"/>
        <v>0</v>
      </c>
      <c r="AV36" s="537" t="s">
        <v>306</v>
      </c>
      <c r="AW36" s="497">
        <f t="shared" ref="AW36:BI36" si="84">E63</f>
        <v>0</v>
      </c>
      <c r="AX36" s="497">
        <f t="shared" si="84"/>
        <v>0</v>
      </c>
      <c r="AY36" s="497">
        <f t="shared" si="84"/>
        <v>0</v>
      </c>
      <c r="AZ36" s="497">
        <f t="shared" si="84"/>
        <v>0</v>
      </c>
      <c r="BA36" s="497">
        <f t="shared" si="84"/>
        <v>0</v>
      </c>
      <c r="BB36" s="497">
        <f t="shared" si="84"/>
        <v>0</v>
      </c>
      <c r="BC36" s="497">
        <f t="shared" si="84"/>
        <v>0</v>
      </c>
      <c r="BD36" s="497">
        <f t="shared" si="84"/>
        <v>0</v>
      </c>
      <c r="BE36" s="497">
        <f t="shared" si="84"/>
        <v>0</v>
      </c>
      <c r="BF36" s="497">
        <f t="shared" si="84"/>
        <v>0</v>
      </c>
      <c r="BG36" s="497">
        <f t="shared" si="84"/>
        <v>0</v>
      </c>
      <c r="BH36" s="497">
        <f t="shared" si="84"/>
        <v>0</v>
      </c>
      <c r="BI36" s="524">
        <f t="shared" si="84"/>
        <v>0</v>
      </c>
      <c r="BJ36" s="537" t="s">
        <v>306</v>
      </c>
      <c r="BK36" s="497">
        <f t="shared" ref="BK36:BW36" si="85">E64</f>
        <v>1503</v>
      </c>
      <c r="BL36" s="497">
        <f t="shared" si="85"/>
        <v>1521</v>
      </c>
      <c r="BM36" s="497">
        <f t="shared" si="85"/>
        <v>1534</v>
      </c>
      <c r="BN36" s="497">
        <f t="shared" si="85"/>
        <v>0</v>
      </c>
      <c r="BO36" s="497">
        <f t="shared" si="85"/>
        <v>0</v>
      </c>
      <c r="BP36" s="497">
        <f t="shared" si="85"/>
        <v>0</v>
      </c>
      <c r="BQ36" s="497">
        <f t="shared" si="85"/>
        <v>0</v>
      </c>
      <c r="BR36" s="497">
        <f t="shared" si="85"/>
        <v>0</v>
      </c>
      <c r="BS36" s="497">
        <f t="shared" si="85"/>
        <v>0</v>
      </c>
      <c r="BT36" s="497">
        <f t="shared" si="85"/>
        <v>0</v>
      </c>
      <c r="BU36" s="497">
        <f t="shared" si="85"/>
        <v>0</v>
      </c>
      <c r="BV36" s="497">
        <f t="shared" si="85"/>
        <v>0</v>
      </c>
      <c r="BW36" s="524">
        <f t="shared" si="85"/>
        <v>0</v>
      </c>
      <c r="BX36" s="537" t="s">
        <v>306</v>
      </c>
      <c r="BY36" s="497">
        <f t="shared" si="20"/>
        <v>0</v>
      </c>
      <c r="BZ36" s="497">
        <f t="shared" si="20"/>
        <v>0</v>
      </c>
      <c r="CA36" s="497">
        <f t="shared" si="20"/>
        <v>0</v>
      </c>
      <c r="CB36" s="497">
        <f t="shared" si="20"/>
        <v>0</v>
      </c>
      <c r="CC36" s="497">
        <f t="shared" si="20"/>
        <v>0</v>
      </c>
      <c r="CD36" s="497">
        <f t="shared" si="20"/>
        <v>0</v>
      </c>
      <c r="CE36" s="497">
        <f t="shared" si="20"/>
        <v>0</v>
      </c>
      <c r="CF36" s="497">
        <f t="shared" si="20"/>
        <v>0</v>
      </c>
      <c r="CG36" s="497">
        <f t="shared" si="20"/>
        <v>0</v>
      </c>
      <c r="CH36" s="497">
        <f t="shared" si="20"/>
        <v>0</v>
      </c>
      <c r="CI36" s="497">
        <f t="shared" si="20"/>
        <v>0</v>
      </c>
      <c r="CJ36" s="524">
        <f t="shared" si="20"/>
        <v>0</v>
      </c>
      <c r="CK36" s="537" t="s">
        <v>306</v>
      </c>
      <c r="CL36" s="497">
        <f t="shared" si="21"/>
        <v>18</v>
      </c>
      <c r="CM36" s="497">
        <f t="shared" si="21"/>
        <v>13</v>
      </c>
      <c r="CN36" s="497">
        <f t="shared" si="21"/>
        <v>0</v>
      </c>
      <c r="CO36" s="497">
        <f t="shared" si="21"/>
        <v>0</v>
      </c>
      <c r="CP36" s="497">
        <f t="shared" si="21"/>
        <v>0</v>
      </c>
      <c r="CQ36" s="497">
        <f t="shared" si="21"/>
        <v>0</v>
      </c>
      <c r="CR36" s="497">
        <f t="shared" si="21"/>
        <v>0</v>
      </c>
      <c r="CS36" s="497">
        <f t="shared" si="21"/>
        <v>0</v>
      </c>
      <c r="CT36" s="497">
        <f t="shared" si="21"/>
        <v>0</v>
      </c>
      <c r="CU36" s="497">
        <f t="shared" si="21"/>
        <v>0</v>
      </c>
      <c r="CV36" s="497">
        <f t="shared" si="21"/>
        <v>0</v>
      </c>
      <c r="CW36" s="536">
        <f t="shared" si="21"/>
        <v>0</v>
      </c>
      <c r="CX36" s="535" t="s">
        <v>306</v>
      </c>
      <c r="CY36" s="497">
        <v>3000</v>
      </c>
      <c r="CZ36" s="497">
        <v>3000</v>
      </c>
      <c r="DA36" s="497">
        <v>3000</v>
      </c>
      <c r="DB36" s="497">
        <v>3000</v>
      </c>
      <c r="DC36" s="497">
        <v>3000</v>
      </c>
      <c r="DD36" s="497">
        <v>3000</v>
      </c>
      <c r="DE36" s="497">
        <v>3000</v>
      </c>
      <c r="DF36" s="497">
        <v>3000</v>
      </c>
      <c r="DG36" s="497">
        <v>3000</v>
      </c>
      <c r="DH36" s="497">
        <v>3000</v>
      </c>
      <c r="DI36" s="497">
        <v>3000</v>
      </c>
      <c r="DJ36" s="524">
        <v>3000</v>
      </c>
      <c r="DK36" s="537" t="s">
        <v>306</v>
      </c>
      <c r="DL36" s="536">
        <v>20000</v>
      </c>
      <c r="DM36" s="536">
        <v>20000</v>
      </c>
      <c r="DN36" s="536">
        <v>20000</v>
      </c>
      <c r="DO36" s="536">
        <v>20000</v>
      </c>
      <c r="DP36" s="536">
        <v>20000</v>
      </c>
      <c r="DQ36" s="536">
        <v>20000</v>
      </c>
      <c r="DR36" s="536">
        <v>20000</v>
      </c>
      <c r="DS36" s="536">
        <v>20000</v>
      </c>
      <c r="DT36" s="536">
        <v>20000</v>
      </c>
      <c r="DU36" s="536">
        <v>20000</v>
      </c>
      <c r="DV36" s="536">
        <v>20000</v>
      </c>
      <c r="DW36" s="536">
        <v>20000</v>
      </c>
      <c r="DX36" s="535" t="s">
        <v>306</v>
      </c>
      <c r="DY36" s="497">
        <v>15000</v>
      </c>
      <c r="DZ36" s="497">
        <v>15000</v>
      </c>
      <c r="EA36" s="497">
        <v>15000</v>
      </c>
      <c r="EB36" s="497">
        <v>15000</v>
      </c>
      <c r="EC36" s="497">
        <v>15000</v>
      </c>
      <c r="ED36" s="497">
        <v>15000</v>
      </c>
      <c r="EE36" s="497">
        <v>15000</v>
      </c>
      <c r="EF36" s="497">
        <v>15000</v>
      </c>
      <c r="EG36" s="497">
        <v>15000</v>
      </c>
      <c r="EH36" s="497">
        <v>15000</v>
      </c>
      <c r="EI36" s="497">
        <v>15000</v>
      </c>
      <c r="EJ36" s="524">
        <v>15000</v>
      </c>
      <c r="EK36" s="537" t="s">
        <v>306</v>
      </c>
      <c r="EL36" s="497"/>
      <c r="EM36" s="497"/>
      <c r="EN36" s="497"/>
      <c r="EO36" s="497"/>
      <c r="EP36" s="497"/>
      <c r="EQ36" s="497"/>
      <c r="ER36" s="497"/>
      <c r="ES36" s="497"/>
      <c r="ET36" s="497"/>
      <c r="EU36" s="497"/>
      <c r="EV36" s="497"/>
      <c r="EW36" s="536"/>
      <c r="EX36" s="535" t="s">
        <v>306</v>
      </c>
      <c r="EY36" s="497"/>
      <c r="EZ36" s="497"/>
      <c r="FA36" s="497"/>
      <c r="FB36" s="497"/>
      <c r="FC36" s="497"/>
      <c r="FD36" s="497"/>
      <c r="FE36" s="497"/>
      <c r="FF36" s="497"/>
      <c r="FG36" s="497"/>
      <c r="FH36" s="497"/>
      <c r="FI36" s="497"/>
      <c r="FJ36" s="538"/>
      <c r="FK36" s="537" t="s">
        <v>306</v>
      </c>
      <c r="FL36" s="536">
        <v>2200000</v>
      </c>
      <c r="FM36" s="536">
        <v>2200000</v>
      </c>
      <c r="FN36" s="536">
        <v>2200000</v>
      </c>
      <c r="FO36" s="497"/>
      <c r="FP36" s="497"/>
      <c r="FQ36" s="497"/>
      <c r="FR36" s="497"/>
      <c r="FS36" s="497"/>
      <c r="FT36" s="497"/>
      <c r="FU36" s="497"/>
      <c r="FV36" s="497"/>
      <c r="FW36" s="536"/>
      <c r="FX36" s="535" t="s">
        <v>306</v>
      </c>
      <c r="FY36" s="497">
        <f t="shared" si="22"/>
        <v>0</v>
      </c>
      <c r="FZ36" s="497">
        <f t="shared" si="22"/>
        <v>0</v>
      </c>
      <c r="GA36" s="497">
        <f t="shared" si="22"/>
        <v>0</v>
      </c>
      <c r="GB36" s="497">
        <f t="shared" si="22"/>
        <v>0</v>
      </c>
      <c r="GC36" s="497">
        <f t="shared" si="22"/>
        <v>0</v>
      </c>
      <c r="GD36" s="497">
        <f t="shared" si="22"/>
        <v>0</v>
      </c>
      <c r="GE36" s="497">
        <f t="shared" si="22"/>
        <v>0</v>
      </c>
      <c r="GF36" s="497">
        <f t="shared" si="22"/>
        <v>0</v>
      </c>
      <c r="GG36" s="497">
        <f t="shared" si="22"/>
        <v>0</v>
      </c>
      <c r="GH36" s="497">
        <f t="shared" si="22"/>
        <v>0</v>
      </c>
      <c r="GI36" s="497">
        <f t="shared" si="22"/>
        <v>0</v>
      </c>
      <c r="GJ36" s="497">
        <f t="shared" si="22"/>
        <v>0</v>
      </c>
      <c r="GK36" s="537" t="s">
        <v>306</v>
      </c>
      <c r="GL36" s="497">
        <f t="shared" si="53"/>
        <v>360000</v>
      </c>
      <c r="GM36" s="497">
        <f t="shared" si="53"/>
        <v>260000</v>
      </c>
      <c r="GN36" s="497">
        <f t="shared" si="53"/>
        <v>0</v>
      </c>
      <c r="GO36" s="497">
        <f t="shared" si="53"/>
        <v>0</v>
      </c>
      <c r="GP36" s="497">
        <f t="shared" si="53"/>
        <v>0</v>
      </c>
      <c r="GQ36" s="497">
        <f t="shared" si="53"/>
        <v>0</v>
      </c>
      <c r="GR36" s="497">
        <f t="shared" si="53"/>
        <v>0</v>
      </c>
      <c r="GS36" s="497">
        <f t="shared" si="53"/>
        <v>0</v>
      </c>
      <c r="GT36" s="497">
        <f t="shared" si="53"/>
        <v>0</v>
      </c>
      <c r="GU36" s="497">
        <f t="shared" si="53"/>
        <v>0</v>
      </c>
      <c r="GV36" s="497">
        <f t="shared" si="53"/>
        <v>0</v>
      </c>
      <c r="GW36" s="497">
        <f t="shared" si="53"/>
        <v>0</v>
      </c>
      <c r="GX36" s="537" t="s">
        <v>306</v>
      </c>
      <c r="GY36" s="173">
        <f>Y63</f>
        <v>2200</v>
      </c>
      <c r="GZ36" s="173">
        <f>U63</f>
        <v>15000</v>
      </c>
      <c r="HA36" s="173">
        <f>V63</f>
        <v>0</v>
      </c>
      <c r="HB36" s="173">
        <f>W63</f>
        <v>0</v>
      </c>
      <c r="HC36" s="530"/>
    </row>
    <row r="37" spans="1:211" ht="15.75" customHeight="1" thickBot="1">
      <c r="A37" s="78">
        <v>29</v>
      </c>
      <c r="B37" s="934" t="s">
        <v>225</v>
      </c>
      <c r="C37" s="919" t="s">
        <v>226</v>
      </c>
      <c r="D37" s="660" t="s">
        <v>128</v>
      </c>
      <c r="E37" s="661">
        <v>11338</v>
      </c>
      <c r="F37" s="661">
        <v>11479</v>
      </c>
      <c r="G37" s="661">
        <v>11641</v>
      </c>
      <c r="H37" s="661"/>
      <c r="I37" s="661"/>
      <c r="J37" s="661"/>
      <c r="K37" s="661"/>
      <c r="L37" s="661"/>
      <c r="M37" s="661"/>
      <c r="N37" s="661"/>
      <c r="O37" s="661"/>
      <c r="P37" s="661"/>
      <c r="Q37" s="666"/>
      <c r="R37" s="89"/>
      <c r="S37" s="90"/>
      <c r="T37" s="90">
        <v>1600</v>
      </c>
      <c r="U37" s="90">
        <v>15000</v>
      </c>
      <c r="V37" s="90">
        <v>0</v>
      </c>
      <c r="W37" s="229">
        <v>0</v>
      </c>
      <c r="X37" s="21" t="s">
        <v>131</v>
      </c>
      <c r="Y37" s="90">
        <v>500</v>
      </c>
      <c r="Z37" s="90">
        <v>3000</v>
      </c>
      <c r="AA37" s="498" t="s">
        <v>226</v>
      </c>
      <c r="AB37" s="90" t="s">
        <v>132</v>
      </c>
      <c r="AC37" s="534">
        <v>29</v>
      </c>
      <c r="AD37" s="530">
        <v>15</v>
      </c>
      <c r="AE37" s="534"/>
      <c r="AF37" s="534">
        <v>29</v>
      </c>
      <c r="AG37" s="539" t="s">
        <v>310</v>
      </c>
      <c r="AH37" s="535" t="str">
        <f>B65</f>
        <v>Trần Thị Ngọc</v>
      </c>
      <c r="AI37" s="522">
        <v>2559000</v>
      </c>
      <c r="AJ37" s="522">
        <f t="shared" si="60"/>
        <v>2711000</v>
      </c>
      <c r="AK37" s="522">
        <f t="shared" si="60"/>
        <v>2783000</v>
      </c>
      <c r="AL37" s="522">
        <f t="shared" si="60"/>
        <v>0</v>
      </c>
      <c r="AM37" s="522">
        <f t="shared" si="61"/>
        <v>0</v>
      </c>
      <c r="AN37" s="522">
        <f t="shared" si="62"/>
        <v>0</v>
      </c>
      <c r="AO37" s="522">
        <f t="shared" si="63"/>
        <v>0</v>
      </c>
      <c r="AP37" s="522">
        <f t="shared" si="64"/>
        <v>0</v>
      </c>
      <c r="AQ37" s="522">
        <f t="shared" si="65"/>
        <v>0</v>
      </c>
      <c r="AR37" s="522">
        <f t="shared" si="66"/>
        <v>0</v>
      </c>
      <c r="AS37" s="522">
        <f t="shared" si="67"/>
        <v>0</v>
      </c>
      <c r="AT37" s="522">
        <f t="shared" si="68"/>
        <v>0</v>
      </c>
      <c r="AU37" s="540">
        <f t="shared" si="69"/>
        <v>0</v>
      </c>
      <c r="AV37" s="541" t="s">
        <v>310</v>
      </c>
      <c r="AW37" s="522">
        <f t="shared" ref="AW37:BI37" si="86">E65</f>
        <v>2692</v>
      </c>
      <c r="AX37" s="522">
        <f t="shared" si="86"/>
        <v>2884</v>
      </c>
      <c r="AY37" s="522">
        <f t="shared" si="86"/>
        <v>3080</v>
      </c>
      <c r="AZ37" s="522">
        <f t="shared" si="86"/>
        <v>0</v>
      </c>
      <c r="BA37" s="522">
        <f t="shared" si="86"/>
        <v>0</v>
      </c>
      <c r="BB37" s="522">
        <f t="shared" si="86"/>
        <v>0</v>
      </c>
      <c r="BC37" s="522">
        <f t="shared" si="86"/>
        <v>0</v>
      </c>
      <c r="BD37" s="522">
        <f t="shared" si="86"/>
        <v>0</v>
      </c>
      <c r="BE37" s="522">
        <f t="shared" si="86"/>
        <v>0</v>
      </c>
      <c r="BF37" s="522">
        <f t="shared" si="86"/>
        <v>0</v>
      </c>
      <c r="BG37" s="522">
        <f t="shared" si="86"/>
        <v>0</v>
      </c>
      <c r="BH37" s="522">
        <f t="shared" si="86"/>
        <v>0</v>
      </c>
      <c r="BI37" s="525">
        <f t="shared" si="86"/>
        <v>0</v>
      </c>
      <c r="BJ37" s="541" t="s">
        <v>310</v>
      </c>
      <c r="BK37" s="522">
        <f t="shared" ref="BK37:BW37" si="87">E66</f>
        <v>1146</v>
      </c>
      <c r="BL37" s="522">
        <f t="shared" si="87"/>
        <v>1161</v>
      </c>
      <c r="BM37" s="522">
        <f t="shared" si="87"/>
        <v>1174</v>
      </c>
      <c r="BN37" s="522">
        <f t="shared" si="87"/>
        <v>0</v>
      </c>
      <c r="BO37" s="522">
        <f t="shared" si="87"/>
        <v>0</v>
      </c>
      <c r="BP37" s="522">
        <f t="shared" si="87"/>
        <v>0</v>
      </c>
      <c r="BQ37" s="522">
        <f t="shared" si="87"/>
        <v>0</v>
      </c>
      <c r="BR37" s="522">
        <f t="shared" si="87"/>
        <v>0</v>
      </c>
      <c r="BS37" s="522">
        <f t="shared" si="87"/>
        <v>0</v>
      </c>
      <c r="BT37" s="522">
        <f t="shared" si="87"/>
        <v>0</v>
      </c>
      <c r="BU37" s="522">
        <f t="shared" si="87"/>
        <v>0</v>
      </c>
      <c r="BV37" s="522">
        <f t="shared" si="87"/>
        <v>0</v>
      </c>
      <c r="BW37" s="525">
        <f t="shared" si="87"/>
        <v>0</v>
      </c>
      <c r="BX37" s="541" t="s">
        <v>310</v>
      </c>
      <c r="BY37" s="522">
        <f t="shared" si="20"/>
        <v>192</v>
      </c>
      <c r="BZ37" s="522">
        <f t="shared" si="20"/>
        <v>196</v>
      </c>
      <c r="CA37" s="522">
        <f t="shared" si="20"/>
        <v>0</v>
      </c>
      <c r="CB37" s="522">
        <f t="shared" si="20"/>
        <v>0</v>
      </c>
      <c r="CC37" s="522">
        <f t="shared" si="20"/>
        <v>0</v>
      </c>
      <c r="CD37" s="522">
        <f t="shared" si="20"/>
        <v>0</v>
      </c>
      <c r="CE37" s="522">
        <f t="shared" si="20"/>
        <v>0</v>
      </c>
      <c r="CF37" s="522">
        <f t="shared" si="20"/>
        <v>0</v>
      </c>
      <c r="CG37" s="522">
        <f t="shared" si="20"/>
        <v>0</v>
      </c>
      <c r="CH37" s="522">
        <f t="shared" si="20"/>
        <v>0</v>
      </c>
      <c r="CI37" s="522">
        <f t="shared" si="20"/>
        <v>0</v>
      </c>
      <c r="CJ37" s="525">
        <f t="shared" si="20"/>
        <v>0</v>
      </c>
      <c r="CK37" s="541" t="s">
        <v>310</v>
      </c>
      <c r="CL37" s="522">
        <f t="shared" si="21"/>
        <v>15</v>
      </c>
      <c r="CM37" s="522">
        <f t="shared" si="21"/>
        <v>13</v>
      </c>
      <c r="CN37" s="522">
        <f t="shared" si="21"/>
        <v>0</v>
      </c>
      <c r="CO37" s="522">
        <f t="shared" si="21"/>
        <v>0</v>
      </c>
      <c r="CP37" s="522">
        <f t="shared" si="21"/>
        <v>0</v>
      </c>
      <c r="CQ37" s="522">
        <f t="shared" si="21"/>
        <v>0</v>
      </c>
      <c r="CR37" s="522">
        <f t="shared" si="21"/>
        <v>0</v>
      </c>
      <c r="CS37" s="522">
        <f t="shared" si="21"/>
        <v>0</v>
      </c>
      <c r="CT37" s="522">
        <f t="shared" si="21"/>
        <v>0</v>
      </c>
      <c r="CU37" s="522">
        <f t="shared" si="21"/>
        <v>0</v>
      </c>
      <c r="CV37" s="522">
        <f t="shared" si="21"/>
        <v>0</v>
      </c>
      <c r="CW37" s="540">
        <f t="shared" si="21"/>
        <v>0</v>
      </c>
      <c r="CX37" s="539" t="s">
        <v>310</v>
      </c>
      <c r="CY37" s="522">
        <v>3000</v>
      </c>
      <c r="CZ37" s="522">
        <v>3000</v>
      </c>
      <c r="DA37" s="522">
        <v>3000</v>
      </c>
      <c r="DB37" s="522">
        <v>3000</v>
      </c>
      <c r="DC37" s="522">
        <v>3000</v>
      </c>
      <c r="DD37" s="522">
        <v>3000</v>
      </c>
      <c r="DE37" s="522">
        <v>3000</v>
      </c>
      <c r="DF37" s="522">
        <v>3000</v>
      </c>
      <c r="DG37" s="522">
        <v>3000</v>
      </c>
      <c r="DH37" s="522">
        <v>3000</v>
      </c>
      <c r="DI37" s="522">
        <v>3000</v>
      </c>
      <c r="DJ37" s="525">
        <v>3000</v>
      </c>
      <c r="DK37" s="541" t="s">
        <v>310</v>
      </c>
      <c r="DL37" s="540">
        <v>20000</v>
      </c>
      <c r="DM37" s="540">
        <v>20000</v>
      </c>
      <c r="DN37" s="540">
        <v>20000</v>
      </c>
      <c r="DO37" s="540">
        <v>20000</v>
      </c>
      <c r="DP37" s="540">
        <v>20000</v>
      </c>
      <c r="DQ37" s="540">
        <v>20000</v>
      </c>
      <c r="DR37" s="540">
        <v>20000</v>
      </c>
      <c r="DS37" s="540">
        <v>20000</v>
      </c>
      <c r="DT37" s="540">
        <v>20000</v>
      </c>
      <c r="DU37" s="540">
        <v>20000</v>
      </c>
      <c r="DV37" s="540">
        <v>20000</v>
      </c>
      <c r="DW37" s="540">
        <v>20000</v>
      </c>
      <c r="DX37" s="539" t="s">
        <v>310</v>
      </c>
      <c r="DY37" s="522">
        <v>15000</v>
      </c>
      <c r="DZ37" s="522">
        <v>15000</v>
      </c>
      <c r="EA37" s="522">
        <v>15000</v>
      </c>
      <c r="EB37" s="522">
        <v>15000</v>
      </c>
      <c r="EC37" s="522">
        <v>15000</v>
      </c>
      <c r="ED37" s="522">
        <v>15000</v>
      </c>
      <c r="EE37" s="522">
        <v>15000</v>
      </c>
      <c r="EF37" s="522">
        <v>15000</v>
      </c>
      <c r="EG37" s="522">
        <v>15000</v>
      </c>
      <c r="EH37" s="522">
        <v>15000</v>
      </c>
      <c r="EI37" s="522">
        <v>15000</v>
      </c>
      <c r="EJ37" s="525">
        <v>15000</v>
      </c>
      <c r="EK37" s="541" t="s">
        <v>310</v>
      </c>
      <c r="EL37" s="522">
        <v>20000</v>
      </c>
      <c r="EM37" s="522">
        <v>20000</v>
      </c>
      <c r="EN37" s="522">
        <v>20000</v>
      </c>
      <c r="EO37" s="522">
        <v>20000</v>
      </c>
      <c r="EP37" s="522">
        <v>20000</v>
      </c>
      <c r="EQ37" s="522">
        <v>20000</v>
      </c>
      <c r="ER37" s="522">
        <v>20000</v>
      </c>
      <c r="ES37" s="522">
        <v>20000</v>
      </c>
      <c r="ET37" s="522">
        <v>20000</v>
      </c>
      <c r="EU37" s="522">
        <v>20000</v>
      </c>
      <c r="EV37" s="522">
        <v>20000</v>
      </c>
      <c r="EW37" s="540">
        <v>20000</v>
      </c>
      <c r="EX37" s="539" t="s">
        <v>310</v>
      </c>
      <c r="EY37" s="522"/>
      <c r="EZ37" s="522"/>
      <c r="FA37" s="522"/>
      <c r="FB37" s="522"/>
      <c r="FC37" s="522"/>
      <c r="FD37" s="522"/>
      <c r="FE37" s="522"/>
      <c r="FF37" s="522"/>
      <c r="FG37" s="522"/>
      <c r="FH37" s="522"/>
      <c r="FI37" s="522"/>
      <c r="FJ37" s="542"/>
      <c r="FK37" s="541" t="s">
        <v>310</v>
      </c>
      <c r="FL37" s="540">
        <v>1800000</v>
      </c>
      <c r="FM37" s="522">
        <v>1900000</v>
      </c>
      <c r="FN37" s="522">
        <v>1900000</v>
      </c>
      <c r="FO37" s="522"/>
      <c r="FP37" s="522"/>
      <c r="FQ37" s="522"/>
      <c r="FR37" s="522"/>
      <c r="FS37" s="522"/>
      <c r="FT37" s="522"/>
      <c r="FU37" s="522"/>
      <c r="FV37" s="522"/>
      <c r="FW37" s="540"/>
      <c r="FX37" s="539" t="s">
        <v>310</v>
      </c>
      <c r="FY37" s="497">
        <f t="shared" si="22"/>
        <v>576000</v>
      </c>
      <c r="FZ37" s="497">
        <f t="shared" si="22"/>
        <v>588000</v>
      </c>
      <c r="GA37" s="497">
        <f t="shared" si="22"/>
        <v>0</v>
      </c>
      <c r="GB37" s="497">
        <f t="shared" si="22"/>
        <v>0</v>
      </c>
      <c r="GC37" s="497">
        <f t="shared" si="22"/>
        <v>0</v>
      </c>
      <c r="GD37" s="497">
        <f t="shared" si="22"/>
        <v>0</v>
      </c>
      <c r="GE37" s="497">
        <f t="shared" si="22"/>
        <v>0</v>
      </c>
      <c r="GF37" s="497">
        <f t="shared" si="22"/>
        <v>0</v>
      </c>
      <c r="GG37" s="497">
        <f t="shared" si="22"/>
        <v>0</v>
      </c>
      <c r="GH37" s="497">
        <f t="shared" si="22"/>
        <v>0</v>
      </c>
      <c r="GI37" s="497">
        <f t="shared" si="22"/>
        <v>0</v>
      </c>
      <c r="GJ37" s="497">
        <f t="shared" si="22"/>
        <v>0</v>
      </c>
      <c r="GK37" s="541" t="s">
        <v>310</v>
      </c>
      <c r="GL37" s="497">
        <f t="shared" si="53"/>
        <v>300000</v>
      </c>
      <c r="GM37" s="497">
        <f t="shared" si="53"/>
        <v>260000</v>
      </c>
      <c r="GN37" s="497">
        <f t="shared" si="53"/>
        <v>0</v>
      </c>
      <c r="GO37" s="497">
        <f t="shared" si="53"/>
        <v>0</v>
      </c>
      <c r="GP37" s="497">
        <f t="shared" si="53"/>
        <v>0</v>
      </c>
      <c r="GQ37" s="497">
        <f t="shared" si="53"/>
        <v>0</v>
      </c>
      <c r="GR37" s="497">
        <f t="shared" si="53"/>
        <v>0</v>
      </c>
      <c r="GS37" s="497">
        <f t="shared" si="53"/>
        <v>0</v>
      </c>
      <c r="GT37" s="497">
        <f t="shared" si="53"/>
        <v>0</v>
      </c>
      <c r="GU37" s="497">
        <f t="shared" si="53"/>
        <v>0</v>
      </c>
      <c r="GV37" s="497">
        <f t="shared" si="53"/>
        <v>0</v>
      </c>
      <c r="GW37" s="497">
        <f t="shared" si="53"/>
        <v>0</v>
      </c>
      <c r="GX37" s="541" t="s">
        <v>310</v>
      </c>
      <c r="GY37" s="173">
        <f>Y65</f>
        <v>1000</v>
      </c>
      <c r="GZ37" s="173">
        <f>U65</f>
        <v>15000</v>
      </c>
      <c r="HA37" s="173">
        <f>V65</f>
        <v>20000</v>
      </c>
      <c r="HB37" s="173">
        <f>W65</f>
        <v>0</v>
      </c>
      <c r="HC37" s="534"/>
    </row>
    <row r="38" spans="1:211" ht="15.75" customHeight="1">
      <c r="A38" s="95">
        <v>30</v>
      </c>
      <c r="B38" s="935"/>
      <c r="C38" s="920"/>
      <c r="D38" s="660" t="s">
        <v>139</v>
      </c>
      <c r="E38" s="661">
        <v>1690</v>
      </c>
      <c r="F38" s="661">
        <v>1708</v>
      </c>
      <c r="G38" s="661">
        <v>1729</v>
      </c>
      <c r="H38" s="661"/>
      <c r="I38" s="661"/>
      <c r="J38" s="661"/>
      <c r="K38" s="661"/>
      <c r="L38" s="661"/>
      <c r="M38" s="661"/>
      <c r="N38" s="661"/>
      <c r="O38" s="661"/>
      <c r="P38" s="661"/>
      <c r="Q38" s="666"/>
      <c r="R38" s="89"/>
      <c r="S38" s="90"/>
      <c r="T38" s="90"/>
      <c r="U38" s="90"/>
      <c r="V38" s="90"/>
      <c r="W38" s="90"/>
      <c r="X38" s="21"/>
      <c r="Y38" s="90"/>
      <c r="Z38" s="90">
        <v>20000</v>
      </c>
      <c r="AA38" s="498" t="s">
        <v>226</v>
      </c>
      <c r="AB38" s="90" t="s">
        <v>132</v>
      </c>
      <c r="AC38" s="534">
        <v>30</v>
      </c>
      <c r="AD38" s="530"/>
      <c r="AE38" s="534">
        <v>15</v>
      </c>
      <c r="AF38" s="521"/>
      <c r="AG38" s="534"/>
      <c r="AH38" s="543" t="s">
        <v>889</v>
      </c>
      <c r="AI38" s="544">
        <f t="shared" ref="AI38:AU38" si="88">SUM(AI9:AI37)</f>
        <v>69274000</v>
      </c>
      <c r="AJ38" s="544">
        <f t="shared" si="88"/>
        <v>70901000</v>
      </c>
      <c r="AK38" s="544">
        <f t="shared" si="88"/>
        <v>71400000</v>
      </c>
      <c r="AL38" s="544">
        <f t="shared" si="88"/>
        <v>0</v>
      </c>
      <c r="AM38" s="544">
        <f t="shared" si="88"/>
        <v>0</v>
      </c>
      <c r="AN38" s="544">
        <f t="shared" si="88"/>
        <v>0</v>
      </c>
      <c r="AO38" s="544">
        <f t="shared" si="88"/>
        <v>0</v>
      </c>
      <c r="AP38" s="544">
        <f t="shared" si="88"/>
        <v>0</v>
      </c>
      <c r="AQ38" s="544">
        <f t="shared" si="88"/>
        <v>0</v>
      </c>
      <c r="AR38" s="544">
        <f t="shared" si="88"/>
        <v>0</v>
      </c>
      <c r="AS38" s="544">
        <f t="shared" si="88"/>
        <v>0</v>
      </c>
      <c r="AT38" s="544">
        <f t="shared" si="88"/>
        <v>0</v>
      </c>
      <c r="AU38" s="544">
        <f t="shared" si="88"/>
        <v>0</v>
      </c>
      <c r="AV38" s="543"/>
      <c r="AW38" s="544"/>
      <c r="AX38" s="544"/>
      <c r="AY38" s="544"/>
      <c r="AZ38" s="544"/>
      <c r="BA38" s="544"/>
      <c r="BB38" s="544"/>
      <c r="BC38" s="544"/>
      <c r="BD38" s="544"/>
      <c r="BE38" s="544"/>
      <c r="BF38" s="544"/>
      <c r="BG38" s="544"/>
      <c r="BH38" s="544"/>
      <c r="BI38" s="544"/>
      <c r="BJ38" s="543"/>
      <c r="BK38" s="544"/>
      <c r="BL38" s="544"/>
      <c r="BM38" s="544"/>
      <c r="BN38" s="544"/>
      <c r="BO38" s="544"/>
      <c r="BP38" s="544"/>
      <c r="BQ38" s="544"/>
      <c r="BR38" s="544"/>
      <c r="BS38" s="544"/>
      <c r="BT38" s="544"/>
      <c r="BU38" s="544"/>
      <c r="BV38" s="544"/>
      <c r="BW38" s="544"/>
      <c r="BX38" s="543" t="s">
        <v>889</v>
      </c>
      <c r="BY38" s="544">
        <f t="shared" ref="BY38:CJ38" si="89">SUM(BY9:BY37)</f>
        <v>2942</v>
      </c>
      <c r="BZ38" s="544">
        <f t="shared" si="89"/>
        <v>2495</v>
      </c>
      <c r="CA38" s="544">
        <f t="shared" si="89"/>
        <v>0</v>
      </c>
      <c r="CB38" s="544">
        <f t="shared" si="89"/>
        <v>0</v>
      </c>
      <c r="CC38" s="544">
        <f t="shared" si="89"/>
        <v>0</v>
      </c>
      <c r="CD38" s="544">
        <f t="shared" si="89"/>
        <v>0</v>
      </c>
      <c r="CE38" s="544">
        <f t="shared" si="89"/>
        <v>0</v>
      </c>
      <c r="CF38" s="544">
        <f t="shared" si="89"/>
        <v>0</v>
      </c>
      <c r="CG38" s="544">
        <f t="shared" si="89"/>
        <v>0</v>
      </c>
      <c r="CH38" s="544">
        <f t="shared" si="89"/>
        <v>0</v>
      </c>
      <c r="CI38" s="544">
        <f t="shared" si="89"/>
        <v>0</v>
      </c>
      <c r="CJ38" s="544">
        <f t="shared" si="89"/>
        <v>0</v>
      </c>
      <c r="CK38" s="543" t="s">
        <v>889</v>
      </c>
      <c r="CL38" s="544">
        <f t="shared" ref="CL38:CW38" si="90">SUM(CL9:CL37)</f>
        <v>279</v>
      </c>
      <c r="CM38" s="544">
        <f t="shared" si="90"/>
        <v>277</v>
      </c>
      <c r="CN38" s="544">
        <f t="shared" si="90"/>
        <v>0</v>
      </c>
      <c r="CO38" s="544">
        <f t="shared" si="90"/>
        <v>0</v>
      </c>
      <c r="CP38" s="544">
        <f t="shared" si="90"/>
        <v>0</v>
      </c>
      <c r="CQ38" s="544">
        <f t="shared" si="90"/>
        <v>0</v>
      </c>
      <c r="CR38" s="544">
        <f t="shared" si="90"/>
        <v>0</v>
      </c>
      <c r="CS38" s="544">
        <f t="shared" si="90"/>
        <v>0</v>
      </c>
      <c r="CT38" s="544">
        <f t="shared" si="90"/>
        <v>0</v>
      </c>
      <c r="CU38" s="544">
        <f t="shared" si="90"/>
        <v>0</v>
      </c>
      <c r="CV38" s="544">
        <f t="shared" si="90"/>
        <v>0</v>
      </c>
      <c r="CW38" s="544">
        <f t="shared" si="90"/>
        <v>0</v>
      </c>
      <c r="CX38" s="543"/>
      <c r="CY38" s="544"/>
      <c r="CZ38" s="544"/>
      <c r="DA38" s="544"/>
      <c r="DB38" s="544"/>
      <c r="DC38" s="544"/>
      <c r="DD38" s="544"/>
      <c r="DE38" s="544"/>
      <c r="DF38" s="544"/>
      <c r="DG38" s="544"/>
      <c r="DH38" s="544"/>
      <c r="DI38" s="544"/>
      <c r="DJ38" s="544"/>
      <c r="DK38" s="543"/>
      <c r="DL38" s="544"/>
      <c r="DM38" s="544"/>
      <c r="DN38" s="544"/>
      <c r="DO38" s="544"/>
      <c r="DP38" s="544"/>
      <c r="DQ38" s="544"/>
      <c r="DR38" s="544"/>
      <c r="DS38" s="544"/>
      <c r="DT38" s="544"/>
      <c r="DU38" s="544"/>
      <c r="DV38" s="544"/>
      <c r="DW38" s="544"/>
      <c r="DX38" s="543" t="s">
        <v>889</v>
      </c>
      <c r="DY38" s="544">
        <f t="shared" ref="DY38:EJ38" si="91">SUM(DY9:DY37)</f>
        <v>375000</v>
      </c>
      <c r="DZ38" s="544">
        <f t="shared" si="91"/>
        <v>375000</v>
      </c>
      <c r="EA38" s="544">
        <f t="shared" si="91"/>
        <v>375000</v>
      </c>
      <c r="EB38" s="544">
        <f t="shared" si="91"/>
        <v>375000</v>
      </c>
      <c r="EC38" s="544">
        <f t="shared" si="91"/>
        <v>375000</v>
      </c>
      <c r="ED38" s="544">
        <f t="shared" si="91"/>
        <v>375000</v>
      </c>
      <c r="EE38" s="544">
        <f t="shared" si="91"/>
        <v>375000</v>
      </c>
      <c r="EF38" s="544">
        <f t="shared" si="91"/>
        <v>375000</v>
      </c>
      <c r="EG38" s="544">
        <f t="shared" si="91"/>
        <v>375000</v>
      </c>
      <c r="EH38" s="544">
        <f t="shared" si="91"/>
        <v>375000</v>
      </c>
      <c r="EI38" s="544">
        <f t="shared" si="91"/>
        <v>375000</v>
      </c>
      <c r="EJ38" s="544">
        <f t="shared" si="91"/>
        <v>375000</v>
      </c>
      <c r="EK38" s="543" t="s">
        <v>889</v>
      </c>
      <c r="EL38" s="544">
        <f t="shared" ref="EL38:EW38" si="92">SUM(EL9:EL37)</f>
        <v>210000</v>
      </c>
      <c r="EM38" s="544">
        <f t="shared" si="92"/>
        <v>210000</v>
      </c>
      <c r="EN38" s="544">
        <f t="shared" si="92"/>
        <v>210000</v>
      </c>
      <c r="EO38" s="544">
        <f t="shared" si="92"/>
        <v>210000</v>
      </c>
      <c r="EP38" s="544">
        <f t="shared" si="92"/>
        <v>210000</v>
      </c>
      <c r="EQ38" s="544">
        <f t="shared" si="92"/>
        <v>210000</v>
      </c>
      <c r="ER38" s="544">
        <f t="shared" si="92"/>
        <v>210000</v>
      </c>
      <c r="ES38" s="544">
        <f t="shared" si="92"/>
        <v>210000</v>
      </c>
      <c r="ET38" s="544">
        <f t="shared" si="92"/>
        <v>210000</v>
      </c>
      <c r="EU38" s="544">
        <f t="shared" si="92"/>
        <v>210000</v>
      </c>
      <c r="EV38" s="544">
        <f t="shared" si="92"/>
        <v>210000</v>
      </c>
      <c r="EW38" s="544">
        <f t="shared" si="92"/>
        <v>210000</v>
      </c>
      <c r="EX38" s="543" t="s">
        <v>889</v>
      </c>
      <c r="EY38" s="544">
        <f t="shared" ref="EY38:FJ38" si="93">SUM(EY9:EY37)</f>
        <v>0</v>
      </c>
      <c r="EZ38" s="544">
        <f t="shared" si="93"/>
        <v>0</v>
      </c>
      <c r="FA38" s="544">
        <f t="shared" si="93"/>
        <v>0</v>
      </c>
      <c r="FB38" s="544">
        <f t="shared" si="93"/>
        <v>0</v>
      </c>
      <c r="FC38" s="544">
        <f t="shared" si="93"/>
        <v>0</v>
      </c>
      <c r="FD38" s="544">
        <f t="shared" si="93"/>
        <v>0</v>
      </c>
      <c r="FE38" s="544">
        <f t="shared" si="93"/>
        <v>0</v>
      </c>
      <c r="FF38" s="544">
        <f t="shared" si="93"/>
        <v>0</v>
      </c>
      <c r="FG38" s="544">
        <f t="shared" si="93"/>
        <v>0</v>
      </c>
      <c r="FH38" s="544">
        <f t="shared" si="93"/>
        <v>0</v>
      </c>
      <c r="FI38" s="544">
        <f t="shared" si="93"/>
        <v>0</v>
      </c>
      <c r="FJ38" s="544">
        <f t="shared" si="93"/>
        <v>0</v>
      </c>
      <c r="FK38" s="543" t="s">
        <v>889</v>
      </c>
      <c r="FL38" s="544">
        <f t="shared" ref="FL38:FW38" si="94">SUM(FL9:FL37)</f>
        <v>56000000</v>
      </c>
      <c r="FM38" s="544">
        <f t="shared" si="94"/>
        <v>57900000</v>
      </c>
      <c r="FN38" s="544">
        <f t="shared" si="94"/>
        <v>57900000</v>
      </c>
      <c r="FO38" s="544">
        <f t="shared" si="94"/>
        <v>0</v>
      </c>
      <c r="FP38" s="544">
        <f t="shared" si="94"/>
        <v>0</v>
      </c>
      <c r="FQ38" s="544">
        <f t="shared" si="94"/>
        <v>0</v>
      </c>
      <c r="FR38" s="544">
        <f t="shared" si="94"/>
        <v>0</v>
      </c>
      <c r="FS38" s="544">
        <f t="shared" si="94"/>
        <v>0</v>
      </c>
      <c r="FT38" s="544">
        <f t="shared" si="94"/>
        <v>0</v>
      </c>
      <c r="FU38" s="544">
        <f t="shared" si="94"/>
        <v>0</v>
      </c>
      <c r="FV38" s="544">
        <f t="shared" si="94"/>
        <v>0</v>
      </c>
      <c r="FW38" s="544">
        <f t="shared" si="94"/>
        <v>0</v>
      </c>
      <c r="FX38" s="543" t="s">
        <v>889</v>
      </c>
      <c r="FY38" s="544">
        <f t="shared" ref="FY38:GJ38" si="95">SUM(FY9:FY37)</f>
        <v>8826000</v>
      </c>
      <c r="FZ38" s="544">
        <f t="shared" si="95"/>
        <v>7485000</v>
      </c>
      <c r="GA38" s="544">
        <f t="shared" si="95"/>
        <v>0</v>
      </c>
      <c r="GB38" s="544">
        <f t="shared" si="95"/>
        <v>0</v>
      </c>
      <c r="GC38" s="544">
        <f t="shared" si="95"/>
        <v>0</v>
      </c>
      <c r="GD38" s="544">
        <f t="shared" si="95"/>
        <v>0</v>
      </c>
      <c r="GE38" s="544">
        <f t="shared" si="95"/>
        <v>0</v>
      </c>
      <c r="GF38" s="544">
        <f t="shared" si="95"/>
        <v>0</v>
      </c>
      <c r="GG38" s="544">
        <f t="shared" si="95"/>
        <v>0</v>
      </c>
      <c r="GH38" s="544">
        <f t="shared" si="95"/>
        <v>0</v>
      </c>
      <c r="GI38" s="544">
        <f t="shared" si="95"/>
        <v>0</v>
      </c>
      <c r="GJ38" s="544">
        <f t="shared" si="95"/>
        <v>0</v>
      </c>
      <c r="GK38" s="543" t="s">
        <v>889</v>
      </c>
      <c r="GL38" s="544">
        <f t="shared" ref="GL38:GW38" si="96">SUM(GL9:GL37)</f>
        <v>5490000</v>
      </c>
      <c r="GM38" s="544">
        <f t="shared" si="96"/>
        <v>5430000</v>
      </c>
      <c r="GN38" s="544">
        <f t="shared" si="96"/>
        <v>0</v>
      </c>
      <c r="GO38" s="544">
        <f t="shared" si="96"/>
        <v>0</v>
      </c>
      <c r="GP38" s="544">
        <f t="shared" si="96"/>
        <v>0</v>
      </c>
      <c r="GQ38" s="544">
        <f t="shared" si="96"/>
        <v>0</v>
      </c>
      <c r="GR38" s="544">
        <f t="shared" si="96"/>
        <v>0</v>
      </c>
      <c r="GS38" s="544">
        <f t="shared" si="96"/>
        <v>0</v>
      </c>
      <c r="GT38" s="544">
        <f t="shared" si="96"/>
        <v>0</v>
      </c>
      <c r="GU38" s="544">
        <f t="shared" si="96"/>
        <v>0</v>
      </c>
      <c r="GV38" s="544">
        <f t="shared" si="96"/>
        <v>0</v>
      </c>
      <c r="GW38" s="544">
        <f t="shared" si="96"/>
        <v>0</v>
      </c>
      <c r="GX38" s="543" t="s">
        <v>889</v>
      </c>
      <c r="GY38" s="173"/>
      <c r="GZ38" s="173"/>
      <c r="HA38" s="173"/>
      <c r="HB38" s="173"/>
      <c r="HC38" s="534"/>
    </row>
    <row r="39" spans="1:211" ht="15.75" customHeight="1">
      <c r="A39" s="78">
        <v>31</v>
      </c>
      <c r="B39" s="936" t="s">
        <v>732</v>
      </c>
      <c r="C39" s="921" t="s">
        <v>234</v>
      </c>
      <c r="D39" s="662" t="s">
        <v>128</v>
      </c>
      <c r="E39" s="302">
        <v>7651</v>
      </c>
      <c r="F39" s="302">
        <v>7705</v>
      </c>
      <c r="G39" s="302">
        <v>7775</v>
      </c>
      <c r="H39" s="302"/>
      <c r="I39" s="302"/>
      <c r="J39" s="302"/>
      <c r="K39" s="302"/>
      <c r="L39" s="302"/>
      <c r="M39" s="302"/>
      <c r="N39" s="302"/>
      <c r="O39" s="302"/>
      <c r="P39" s="302"/>
      <c r="Q39" s="305"/>
      <c r="R39" s="90"/>
      <c r="S39" s="90"/>
      <c r="T39" s="90">
        <v>1600</v>
      </c>
      <c r="U39" s="90">
        <v>15000</v>
      </c>
      <c r="V39" s="90">
        <v>0</v>
      </c>
      <c r="W39" s="90">
        <v>0</v>
      </c>
      <c r="X39" s="21" t="s">
        <v>131</v>
      </c>
      <c r="Y39" s="90">
        <v>1000</v>
      </c>
      <c r="Z39" s="90">
        <v>3000</v>
      </c>
      <c r="AA39" s="498" t="s">
        <v>234</v>
      </c>
      <c r="AB39" s="90" t="s">
        <v>132</v>
      </c>
      <c r="AC39" s="534">
        <v>31</v>
      </c>
      <c r="AD39" s="534">
        <v>16</v>
      </c>
      <c r="AE39" s="534"/>
      <c r="AF39" s="521"/>
      <c r="AG39" s="534"/>
      <c r="AH39" s="585"/>
      <c r="AI39" s="585"/>
      <c r="AJ39" s="928" t="s">
        <v>931</v>
      </c>
      <c r="AK39" s="895"/>
      <c r="AL39" s="895"/>
      <c r="AM39" s="895"/>
      <c r="AN39" s="895"/>
      <c r="AO39" s="895"/>
      <c r="AP39" s="895"/>
      <c r="AQ39" s="895"/>
      <c r="AR39" s="895"/>
      <c r="AS39" s="895"/>
      <c r="AT39" s="90"/>
      <c r="AU39" s="90"/>
      <c r="AV39" s="90"/>
      <c r="HC39" s="534"/>
    </row>
    <row r="40" spans="1:211" ht="15.75" customHeight="1">
      <c r="A40" s="95">
        <v>32</v>
      </c>
      <c r="B40" s="935"/>
      <c r="C40" s="920"/>
      <c r="D40" s="662" t="s">
        <v>139</v>
      </c>
      <c r="E40" s="302">
        <v>851</v>
      </c>
      <c r="F40" s="302">
        <v>858</v>
      </c>
      <c r="G40" s="302">
        <v>866</v>
      </c>
      <c r="H40" s="302"/>
      <c r="I40" s="302"/>
      <c r="J40" s="302"/>
      <c r="K40" s="302"/>
      <c r="L40" s="302"/>
      <c r="M40" s="302"/>
      <c r="N40" s="302"/>
      <c r="O40" s="302"/>
      <c r="P40" s="302"/>
      <c r="Q40" s="305"/>
      <c r="R40" s="90"/>
      <c r="S40" s="90"/>
      <c r="T40" s="90"/>
      <c r="U40" s="90"/>
      <c r="V40" s="90"/>
      <c r="W40" s="90"/>
      <c r="X40" s="21"/>
      <c r="Y40" s="90"/>
      <c r="Z40" s="90">
        <v>20000</v>
      </c>
      <c r="AA40" s="498" t="s">
        <v>234</v>
      </c>
      <c r="AB40" s="90" t="s">
        <v>132</v>
      </c>
      <c r="AC40" s="534">
        <v>32</v>
      </c>
      <c r="AD40" s="534"/>
      <c r="AE40" s="534">
        <v>16</v>
      </c>
      <c r="AF40" s="521"/>
      <c r="AG40" s="495" t="s">
        <v>3</v>
      </c>
      <c r="AH40" s="495" t="s">
        <v>36</v>
      </c>
      <c r="AI40" s="495" t="s">
        <v>21</v>
      </c>
      <c r="AJ40" s="176" t="s">
        <v>333</v>
      </c>
      <c r="AK40" s="176" t="s">
        <v>334</v>
      </c>
      <c r="AL40" s="176" t="s">
        <v>335</v>
      </c>
      <c r="AM40" s="176" t="s">
        <v>279</v>
      </c>
      <c r="AN40" s="176" t="s">
        <v>280</v>
      </c>
      <c r="AO40" s="176" t="s">
        <v>281</v>
      </c>
      <c r="AP40" s="176" t="s">
        <v>282</v>
      </c>
      <c r="AQ40" s="176" t="s">
        <v>283</v>
      </c>
      <c r="AR40" s="176" t="s">
        <v>284</v>
      </c>
      <c r="AS40" s="176" t="s">
        <v>285</v>
      </c>
      <c r="AT40" s="176" t="s">
        <v>286</v>
      </c>
      <c r="AU40" s="176" t="s">
        <v>287</v>
      </c>
      <c r="AV40" s="587" t="s">
        <v>278</v>
      </c>
      <c r="HC40" s="530"/>
    </row>
    <row r="41" spans="1:211" ht="15.75" customHeight="1">
      <c r="A41" s="78">
        <v>33</v>
      </c>
      <c r="B41" s="934" t="s">
        <v>730</v>
      </c>
      <c r="C41" s="919" t="s">
        <v>241</v>
      </c>
      <c r="D41" s="660" t="s">
        <v>128</v>
      </c>
      <c r="E41" s="661">
        <v>6801</v>
      </c>
      <c r="F41" s="661">
        <v>6857</v>
      </c>
      <c r="G41" s="661">
        <v>6893</v>
      </c>
      <c r="H41" s="661"/>
      <c r="I41" s="661"/>
      <c r="J41" s="661"/>
      <c r="K41" s="661"/>
      <c r="L41" s="661"/>
      <c r="M41" s="661"/>
      <c r="N41" s="661"/>
      <c r="O41" s="661"/>
      <c r="P41" s="661"/>
      <c r="Q41" s="666"/>
      <c r="R41" s="89"/>
      <c r="S41" s="90"/>
      <c r="T41" s="90">
        <v>1600</v>
      </c>
      <c r="U41" s="90">
        <v>15000</v>
      </c>
      <c r="V41" s="90">
        <v>0</v>
      </c>
      <c r="W41" s="90">
        <v>0</v>
      </c>
      <c r="X41" s="21" t="s">
        <v>131</v>
      </c>
      <c r="Y41" s="90">
        <v>1000</v>
      </c>
      <c r="Z41" s="90">
        <v>3000</v>
      </c>
      <c r="AA41" s="498" t="s">
        <v>241</v>
      </c>
      <c r="AB41" s="90" t="s">
        <v>132</v>
      </c>
      <c r="AG41" s="174">
        <v>1</v>
      </c>
      <c r="AH41" s="174" t="str">
        <f>B9</f>
        <v>Nguyễn Phi Cường</v>
      </c>
      <c r="AI41" s="174" t="s">
        <v>55</v>
      </c>
      <c r="AJ41" s="302">
        <f t="shared" ref="AJ41:AU41" si="97">AJ9</f>
        <v>1989000</v>
      </c>
      <c r="AK41" s="302">
        <f t="shared" si="97"/>
        <v>1858000</v>
      </c>
      <c r="AL41" s="302">
        <f t="shared" si="97"/>
        <v>0</v>
      </c>
      <c r="AM41" s="302">
        <f t="shared" si="97"/>
        <v>0</v>
      </c>
      <c r="AN41" s="302">
        <f t="shared" si="97"/>
        <v>0</v>
      </c>
      <c r="AO41" s="302">
        <f t="shared" si="97"/>
        <v>0</v>
      </c>
      <c r="AP41" s="302">
        <f t="shared" si="97"/>
        <v>0</v>
      </c>
      <c r="AQ41" s="302">
        <f t="shared" si="97"/>
        <v>0</v>
      </c>
      <c r="AR41" s="302">
        <f t="shared" si="97"/>
        <v>0</v>
      </c>
      <c r="AS41" s="302">
        <f t="shared" si="97"/>
        <v>0</v>
      </c>
      <c r="AT41" s="302">
        <f t="shared" si="97"/>
        <v>0</v>
      </c>
      <c r="AU41" s="302">
        <f t="shared" si="97"/>
        <v>0</v>
      </c>
      <c r="AV41" s="302"/>
      <c r="HC41" s="530"/>
    </row>
    <row r="42" spans="1:211" ht="15.75" customHeight="1">
      <c r="A42" s="95">
        <v>34</v>
      </c>
      <c r="B42" s="935"/>
      <c r="C42" s="920"/>
      <c r="D42" s="660" t="s">
        <v>139</v>
      </c>
      <c r="E42" s="661">
        <v>492</v>
      </c>
      <c r="F42" s="661">
        <v>498</v>
      </c>
      <c r="G42" s="661">
        <v>502</v>
      </c>
      <c r="H42" s="661"/>
      <c r="I42" s="661"/>
      <c r="J42" s="661"/>
      <c r="K42" s="661"/>
      <c r="L42" s="661"/>
      <c r="M42" s="661"/>
      <c r="N42" s="661"/>
      <c r="O42" s="661"/>
      <c r="P42" s="661"/>
      <c r="Q42" s="666"/>
      <c r="R42" s="89"/>
      <c r="S42" s="90"/>
      <c r="T42" s="90"/>
      <c r="U42" s="90"/>
      <c r="V42" s="90"/>
      <c r="W42" s="90"/>
      <c r="X42" s="21"/>
      <c r="Y42" s="90"/>
      <c r="Z42" s="90">
        <v>20000</v>
      </c>
      <c r="AA42" s="498" t="s">
        <v>241</v>
      </c>
      <c r="AB42" s="90" t="s">
        <v>132</v>
      </c>
      <c r="AG42" s="174">
        <v>2</v>
      </c>
      <c r="AH42" s="174" t="str">
        <f>B11</f>
        <v>Cao Vũ Phong</v>
      </c>
      <c r="AI42" s="174" t="s">
        <v>129</v>
      </c>
      <c r="AJ42" s="302">
        <f t="shared" ref="AJ42:AU42" si="98">AJ10</f>
        <v>1720000</v>
      </c>
      <c r="AK42" s="302">
        <f t="shared" si="98"/>
        <v>1722000</v>
      </c>
      <c r="AL42" s="302">
        <f t="shared" si="98"/>
        <v>0</v>
      </c>
      <c r="AM42" s="302">
        <f t="shared" si="98"/>
        <v>0</v>
      </c>
      <c r="AN42" s="302">
        <f t="shared" si="98"/>
        <v>0</v>
      </c>
      <c r="AO42" s="302">
        <f t="shared" si="98"/>
        <v>0</v>
      </c>
      <c r="AP42" s="302">
        <f t="shared" si="98"/>
        <v>0</v>
      </c>
      <c r="AQ42" s="302">
        <f t="shared" si="98"/>
        <v>0</v>
      </c>
      <c r="AR42" s="302">
        <f t="shared" si="98"/>
        <v>0</v>
      </c>
      <c r="AS42" s="302">
        <f t="shared" si="98"/>
        <v>0</v>
      </c>
      <c r="AT42" s="302">
        <f t="shared" si="98"/>
        <v>0</v>
      </c>
      <c r="AU42" s="302">
        <f t="shared" si="98"/>
        <v>0</v>
      </c>
      <c r="AV42" s="302"/>
      <c r="HC42" s="534"/>
    </row>
    <row r="43" spans="1:211" ht="15.75" customHeight="1">
      <c r="A43" s="78">
        <v>35</v>
      </c>
      <c r="B43" s="936" t="s">
        <v>246</v>
      </c>
      <c r="C43" s="921" t="s">
        <v>247</v>
      </c>
      <c r="D43" s="662" t="s">
        <v>128</v>
      </c>
      <c r="E43" s="302">
        <v>8231</v>
      </c>
      <c r="F43" s="302">
        <v>8341</v>
      </c>
      <c r="G43" s="302">
        <v>8434</v>
      </c>
      <c r="H43" s="302"/>
      <c r="I43" s="302"/>
      <c r="J43" s="302"/>
      <c r="K43" s="302"/>
      <c r="L43" s="302"/>
      <c r="M43" s="302"/>
      <c r="N43" s="302"/>
      <c r="O43" s="302"/>
      <c r="P43" s="302"/>
      <c r="Q43" s="305"/>
      <c r="R43" s="90"/>
      <c r="S43" s="90"/>
      <c r="T43" s="90">
        <v>1600</v>
      </c>
      <c r="U43" s="90">
        <v>15000</v>
      </c>
      <c r="V43" s="90">
        <v>20000</v>
      </c>
      <c r="W43" s="90">
        <v>0</v>
      </c>
      <c r="X43" s="21" t="s">
        <v>131</v>
      </c>
      <c r="Y43" s="90">
        <v>1000</v>
      </c>
      <c r="Z43" s="90">
        <v>3000</v>
      </c>
      <c r="AA43" s="498" t="s">
        <v>247</v>
      </c>
      <c r="AB43" s="90" t="s">
        <v>132</v>
      </c>
      <c r="AC43" s="90"/>
      <c r="AD43" s="90"/>
      <c r="AE43" s="90"/>
      <c r="AG43" s="174">
        <v>3</v>
      </c>
      <c r="AH43" s="174" t="str">
        <f>B13</f>
        <v>Lương Văn Thân</v>
      </c>
      <c r="AI43" s="174" t="s">
        <v>142</v>
      </c>
      <c r="AJ43" s="302">
        <f t="shared" ref="AJ43:AU43" si="99">AJ11</f>
        <v>1660000</v>
      </c>
      <c r="AK43" s="302">
        <f t="shared" si="99"/>
        <v>1684000</v>
      </c>
      <c r="AL43" s="302">
        <f t="shared" si="99"/>
        <v>0</v>
      </c>
      <c r="AM43" s="302">
        <f t="shared" si="99"/>
        <v>0</v>
      </c>
      <c r="AN43" s="302">
        <f t="shared" si="99"/>
        <v>0</v>
      </c>
      <c r="AO43" s="302">
        <f t="shared" si="99"/>
        <v>0</v>
      </c>
      <c r="AP43" s="302">
        <f t="shared" si="99"/>
        <v>0</v>
      </c>
      <c r="AQ43" s="302">
        <f t="shared" si="99"/>
        <v>0</v>
      </c>
      <c r="AR43" s="302">
        <f t="shared" si="99"/>
        <v>0</v>
      </c>
      <c r="AS43" s="302">
        <f t="shared" si="99"/>
        <v>0</v>
      </c>
      <c r="AT43" s="302">
        <f t="shared" si="99"/>
        <v>0</v>
      </c>
      <c r="AU43" s="302">
        <f t="shared" si="99"/>
        <v>0</v>
      </c>
      <c r="AV43" s="302"/>
      <c r="HC43" s="534"/>
    </row>
    <row r="44" spans="1:211" ht="15.75" customHeight="1">
      <c r="A44" s="95">
        <v>36</v>
      </c>
      <c r="B44" s="935"/>
      <c r="C44" s="920"/>
      <c r="D44" s="662" t="s">
        <v>139</v>
      </c>
      <c r="E44" s="302">
        <v>424</v>
      </c>
      <c r="F44" s="302">
        <v>429</v>
      </c>
      <c r="G44" s="302">
        <v>434</v>
      </c>
      <c r="H44" s="302"/>
      <c r="I44" s="302"/>
      <c r="J44" s="302"/>
      <c r="K44" s="302"/>
      <c r="L44" s="302"/>
      <c r="M44" s="302"/>
      <c r="N44" s="302"/>
      <c r="O44" s="302"/>
      <c r="P44" s="302"/>
      <c r="Q44" s="305"/>
      <c r="R44" s="90"/>
      <c r="S44" s="90"/>
      <c r="T44" s="90"/>
      <c r="U44" s="90"/>
      <c r="V44" s="90"/>
      <c r="W44" s="90"/>
      <c r="X44" s="21"/>
      <c r="Y44" s="90"/>
      <c r="Z44" s="90">
        <v>20000</v>
      </c>
      <c r="AA44" s="498" t="s">
        <v>247</v>
      </c>
      <c r="AB44" s="90" t="s">
        <v>132</v>
      </c>
      <c r="AC44" s="90"/>
      <c r="AD44" s="90"/>
      <c r="AE44" s="90"/>
      <c r="AG44" s="174">
        <v>4</v>
      </c>
      <c r="AH44" s="174" t="str">
        <f>B15</f>
        <v>Đỗ Thị Lệ</v>
      </c>
      <c r="AI44" s="174" t="s">
        <v>147</v>
      </c>
      <c r="AJ44" s="302">
        <f t="shared" ref="AJ44:AU44" si="100">AJ12</f>
        <v>1839000</v>
      </c>
      <c r="AK44" s="302">
        <f t="shared" si="100"/>
        <v>1840000</v>
      </c>
      <c r="AL44" s="302">
        <f t="shared" si="100"/>
        <v>0</v>
      </c>
      <c r="AM44" s="302">
        <f t="shared" si="100"/>
        <v>0</v>
      </c>
      <c r="AN44" s="302">
        <f t="shared" si="100"/>
        <v>0</v>
      </c>
      <c r="AO44" s="302">
        <f t="shared" si="100"/>
        <v>0</v>
      </c>
      <c r="AP44" s="302">
        <f t="shared" si="100"/>
        <v>0</v>
      </c>
      <c r="AQ44" s="302">
        <f t="shared" si="100"/>
        <v>0</v>
      </c>
      <c r="AR44" s="302">
        <f t="shared" si="100"/>
        <v>0</v>
      </c>
      <c r="AS44" s="302">
        <f t="shared" si="100"/>
        <v>0</v>
      </c>
      <c r="AT44" s="302">
        <f t="shared" si="100"/>
        <v>0</v>
      </c>
      <c r="AU44" s="302">
        <f t="shared" si="100"/>
        <v>0</v>
      </c>
      <c r="AV44" s="302"/>
      <c r="HC44" s="534"/>
    </row>
    <row r="45" spans="1:211" ht="15.75" customHeight="1">
      <c r="A45" s="78">
        <v>37</v>
      </c>
      <c r="B45" s="934" t="s">
        <v>253</v>
      </c>
      <c r="C45" s="919" t="s">
        <v>254</v>
      </c>
      <c r="D45" s="660" t="s">
        <v>128</v>
      </c>
      <c r="E45" s="661">
        <v>12287</v>
      </c>
      <c r="F45" s="661">
        <v>12431</v>
      </c>
      <c r="G45" s="661">
        <v>12574</v>
      </c>
      <c r="H45" s="661"/>
      <c r="I45" s="661"/>
      <c r="J45" s="661"/>
      <c r="K45" s="661"/>
      <c r="L45" s="661"/>
      <c r="M45" s="661"/>
      <c r="N45" s="661"/>
      <c r="O45" s="661"/>
      <c r="P45" s="661"/>
      <c r="Q45" s="666"/>
      <c r="R45" s="89"/>
      <c r="S45" s="90"/>
      <c r="T45" s="90">
        <v>1600</v>
      </c>
      <c r="U45" s="90">
        <v>15000</v>
      </c>
      <c r="V45" s="90">
        <v>0</v>
      </c>
      <c r="W45" s="90">
        <v>0</v>
      </c>
      <c r="X45" s="21" t="s">
        <v>131</v>
      </c>
      <c r="Y45" s="90">
        <v>1000</v>
      </c>
      <c r="Z45" s="90">
        <v>3000</v>
      </c>
      <c r="AA45" s="498" t="s">
        <v>254</v>
      </c>
      <c r="AB45" s="90" t="s">
        <v>132</v>
      </c>
      <c r="AC45" s="90"/>
      <c r="AD45" s="90"/>
      <c r="AE45" s="90"/>
      <c r="AG45" s="174">
        <v>5</v>
      </c>
      <c r="AH45" s="174" t="str">
        <f>B17</f>
        <v>Huỳnh Văn Tâm</v>
      </c>
      <c r="AI45" s="174" t="s">
        <v>149</v>
      </c>
      <c r="AJ45" s="302">
        <f t="shared" ref="AJ45:AU45" si="101">AJ13</f>
        <v>2740000</v>
      </c>
      <c r="AK45" s="302">
        <f t="shared" si="101"/>
        <v>2818000</v>
      </c>
      <c r="AL45" s="302">
        <f t="shared" si="101"/>
        <v>0</v>
      </c>
      <c r="AM45" s="302">
        <f t="shared" si="101"/>
        <v>0</v>
      </c>
      <c r="AN45" s="302">
        <f t="shared" si="101"/>
        <v>0</v>
      </c>
      <c r="AO45" s="302">
        <f t="shared" si="101"/>
        <v>0</v>
      </c>
      <c r="AP45" s="302">
        <f t="shared" si="101"/>
        <v>0</v>
      </c>
      <c r="AQ45" s="302">
        <f t="shared" si="101"/>
        <v>0</v>
      </c>
      <c r="AR45" s="302">
        <f t="shared" si="101"/>
        <v>0</v>
      </c>
      <c r="AS45" s="302">
        <f t="shared" si="101"/>
        <v>0</v>
      </c>
      <c r="AT45" s="302">
        <f t="shared" si="101"/>
        <v>0</v>
      </c>
      <c r="AU45" s="302">
        <f t="shared" si="101"/>
        <v>0</v>
      </c>
      <c r="AV45" s="302"/>
      <c r="HC45" s="534"/>
    </row>
    <row r="46" spans="1:211" ht="15.75" customHeight="1">
      <c r="A46" s="95">
        <v>38</v>
      </c>
      <c r="B46" s="935"/>
      <c r="C46" s="920"/>
      <c r="D46" s="660" t="s">
        <v>139</v>
      </c>
      <c r="E46" s="661">
        <v>962</v>
      </c>
      <c r="F46" s="661">
        <v>970</v>
      </c>
      <c r="G46" s="661">
        <v>979</v>
      </c>
      <c r="H46" s="661"/>
      <c r="I46" s="661"/>
      <c r="J46" s="661"/>
      <c r="K46" s="661"/>
      <c r="L46" s="661"/>
      <c r="M46" s="661"/>
      <c r="N46" s="661"/>
      <c r="O46" s="661"/>
      <c r="P46" s="661"/>
      <c r="Q46" s="666"/>
      <c r="R46" s="89"/>
      <c r="S46" s="90"/>
      <c r="T46" s="90"/>
      <c r="U46" s="90"/>
      <c r="V46" s="90"/>
      <c r="W46" s="90"/>
      <c r="X46" s="21"/>
      <c r="Y46" s="90"/>
      <c r="Z46" s="90">
        <v>20000</v>
      </c>
      <c r="AA46" s="498" t="s">
        <v>254</v>
      </c>
      <c r="AB46" s="90" t="s">
        <v>132</v>
      </c>
      <c r="AC46" s="90"/>
      <c r="AD46" s="90"/>
      <c r="AE46" s="90"/>
      <c r="AG46" s="174">
        <v>6</v>
      </c>
      <c r="AH46" s="174" t="str">
        <f>B19</f>
        <v>Đỗ Văn Nhất</v>
      </c>
      <c r="AI46" s="174" t="s">
        <v>153</v>
      </c>
      <c r="AJ46" s="302">
        <f t="shared" ref="AJ46:AU46" si="102">AJ14</f>
        <v>2014000</v>
      </c>
      <c r="AK46" s="302">
        <f t="shared" si="102"/>
        <v>1966000</v>
      </c>
      <c r="AL46" s="302">
        <f t="shared" si="102"/>
        <v>0</v>
      </c>
      <c r="AM46" s="302">
        <f t="shared" si="102"/>
        <v>0</v>
      </c>
      <c r="AN46" s="302">
        <f t="shared" si="102"/>
        <v>0</v>
      </c>
      <c r="AO46" s="302">
        <f t="shared" si="102"/>
        <v>0</v>
      </c>
      <c r="AP46" s="302">
        <f t="shared" si="102"/>
        <v>0</v>
      </c>
      <c r="AQ46" s="302">
        <f t="shared" si="102"/>
        <v>0</v>
      </c>
      <c r="AR46" s="302">
        <f t="shared" si="102"/>
        <v>0</v>
      </c>
      <c r="AS46" s="302">
        <f t="shared" si="102"/>
        <v>0</v>
      </c>
      <c r="AT46" s="302">
        <f t="shared" si="102"/>
        <v>0</v>
      </c>
      <c r="AU46" s="302">
        <f t="shared" si="102"/>
        <v>0</v>
      </c>
      <c r="AV46" s="302"/>
      <c r="HC46" s="530"/>
    </row>
    <row r="47" spans="1:211" ht="15.75" customHeight="1">
      <c r="A47" s="78">
        <v>39</v>
      </c>
      <c r="B47" s="936" t="s">
        <v>731</v>
      </c>
      <c r="C47" s="921" t="s">
        <v>258</v>
      </c>
      <c r="D47" s="662" t="s">
        <v>128</v>
      </c>
      <c r="E47" s="302">
        <v>8573</v>
      </c>
      <c r="F47" s="302">
        <v>8598</v>
      </c>
      <c r="G47" s="302">
        <v>8623</v>
      </c>
      <c r="H47" s="302"/>
      <c r="I47" s="302"/>
      <c r="J47" s="302"/>
      <c r="K47" s="302"/>
      <c r="L47" s="302"/>
      <c r="M47" s="302"/>
      <c r="N47" s="302"/>
      <c r="O47" s="302"/>
      <c r="P47" s="302"/>
      <c r="Q47" s="305"/>
      <c r="R47" s="90"/>
      <c r="S47" s="90"/>
      <c r="T47" s="90">
        <v>0</v>
      </c>
      <c r="U47" s="90">
        <v>0</v>
      </c>
      <c r="V47" s="90">
        <v>0</v>
      </c>
      <c r="W47" s="90">
        <v>0</v>
      </c>
      <c r="X47" s="21" t="s">
        <v>131</v>
      </c>
      <c r="Y47" s="90">
        <v>0</v>
      </c>
      <c r="Z47" s="90">
        <v>3000</v>
      </c>
      <c r="AA47" s="498" t="s">
        <v>258</v>
      </c>
      <c r="AB47" s="90" t="s">
        <v>132</v>
      </c>
      <c r="AC47" s="90"/>
      <c r="AD47" s="90"/>
      <c r="AE47" s="90"/>
      <c r="AG47" s="174">
        <v>7</v>
      </c>
      <c r="AH47" s="174" t="str">
        <f>B21</f>
        <v>Huỳnh Thị Thu Thúy</v>
      </c>
      <c r="AI47" s="174" t="s">
        <v>162</v>
      </c>
      <c r="AJ47" s="302">
        <f t="shared" ref="AJ47:AU47" si="103">AJ15</f>
        <v>2035000</v>
      </c>
      <c r="AK47" s="302">
        <f t="shared" si="103"/>
        <v>2550000</v>
      </c>
      <c r="AL47" s="302">
        <f t="shared" si="103"/>
        <v>0</v>
      </c>
      <c r="AM47" s="302">
        <f t="shared" si="103"/>
        <v>0</v>
      </c>
      <c r="AN47" s="302">
        <f t="shared" si="103"/>
        <v>0</v>
      </c>
      <c r="AO47" s="302">
        <f t="shared" si="103"/>
        <v>0</v>
      </c>
      <c r="AP47" s="302">
        <f t="shared" si="103"/>
        <v>0</v>
      </c>
      <c r="AQ47" s="302">
        <f t="shared" si="103"/>
        <v>0</v>
      </c>
      <c r="AR47" s="302">
        <f t="shared" si="103"/>
        <v>0</v>
      </c>
      <c r="AS47" s="302">
        <f t="shared" si="103"/>
        <v>0</v>
      </c>
      <c r="AT47" s="302">
        <f t="shared" si="103"/>
        <v>0</v>
      </c>
      <c r="AU47" s="302">
        <f t="shared" si="103"/>
        <v>0</v>
      </c>
      <c r="AV47" s="302"/>
      <c r="HC47" s="530"/>
    </row>
    <row r="48" spans="1:211" ht="15.75" customHeight="1">
      <c r="A48" s="95">
        <v>40</v>
      </c>
      <c r="B48" s="935"/>
      <c r="C48" s="920"/>
      <c r="D48" s="662" t="s">
        <v>139</v>
      </c>
      <c r="E48" s="302">
        <v>138</v>
      </c>
      <c r="F48" s="302">
        <v>138</v>
      </c>
      <c r="G48" s="302">
        <v>138</v>
      </c>
      <c r="H48" s="302"/>
      <c r="I48" s="302"/>
      <c r="J48" s="302"/>
      <c r="K48" s="302"/>
      <c r="L48" s="302"/>
      <c r="M48" s="302"/>
      <c r="N48" s="302"/>
      <c r="O48" s="302"/>
      <c r="P48" s="302"/>
      <c r="Q48" s="305"/>
      <c r="R48" s="90"/>
      <c r="S48" s="90"/>
      <c r="T48" s="90"/>
      <c r="U48" s="90"/>
      <c r="V48" s="90"/>
      <c r="W48" s="90"/>
      <c r="X48" s="21"/>
      <c r="Y48" s="90"/>
      <c r="Z48" s="90">
        <v>20000</v>
      </c>
      <c r="AA48" s="498" t="s">
        <v>258</v>
      </c>
      <c r="AB48" s="90" t="s">
        <v>265</v>
      </c>
      <c r="AC48" s="90"/>
      <c r="AD48" s="90"/>
      <c r="AE48" s="90"/>
      <c r="AG48" s="174">
        <v>8</v>
      </c>
      <c r="AH48" s="174" t="str">
        <f>B23</f>
        <v>Nguyễn Thị Xuyến</v>
      </c>
      <c r="AI48" s="174" t="s">
        <v>173</v>
      </c>
      <c r="AJ48" s="302">
        <f t="shared" ref="AJ48:AU48" si="104">AJ16</f>
        <v>2245000</v>
      </c>
      <c r="AK48" s="302">
        <f t="shared" si="104"/>
        <v>2202000</v>
      </c>
      <c r="AL48" s="302">
        <f t="shared" si="104"/>
        <v>0</v>
      </c>
      <c r="AM48" s="302">
        <f t="shared" si="104"/>
        <v>0</v>
      </c>
      <c r="AN48" s="302">
        <f t="shared" si="104"/>
        <v>0</v>
      </c>
      <c r="AO48" s="302">
        <f t="shared" si="104"/>
        <v>0</v>
      </c>
      <c r="AP48" s="302">
        <f t="shared" si="104"/>
        <v>0</v>
      </c>
      <c r="AQ48" s="302">
        <f t="shared" si="104"/>
        <v>0</v>
      </c>
      <c r="AR48" s="302">
        <f t="shared" si="104"/>
        <v>0</v>
      </c>
      <c r="AS48" s="302">
        <f t="shared" si="104"/>
        <v>0</v>
      </c>
      <c r="AT48" s="302">
        <f t="shared" si="104"/>
        <v>0</v>
      </c>
      <c r="AU48" s="302">
        <f t="shared" si="104"/>
        <v>0</v>
      </c>
      <c r="AV48" s="302"/>
      <c r="HC48" s="534"/>
    </row>
    <row r="49" spans="1:211" ht="15.75" customHeight="1">
      <c r="A49" s="78">
        <v>41</v>
      </c>
      <c r="B49" s="934" t="s">
        <v>270</v>
      </c>
      <c r="C49" s="919" t="s">
        <v>271</v>
      </c>
      <c r="D49" s="660" t="s">
        <v>128</v>
      </c>
      <c r="E49" s="661">
        <v>0</v>
      </c>
      <c r="F49" s="661">
        <v>0</v>
      </c>
      <c r="G49" s="661">
        <v>0</v>
      </c>
      <c r="H49" s="661">
        <v>0</v>
      </c>
      <c r="I49" s="661">
        <v>0</v>
      </c>
      <c r="J49" s="661">
        <v>0</v>
      </c>
      <c r="K49" s="661">
        <v>0</v>
      </c>
      <c r="L49" s="661">
        <v>0</v>
      </c>
      <c r="M49" s="661">
        <v>0</v>
      </c>
      <c r="N49" s="661">
        <v>0</v>
      </c>
      <c r="O49" s="661">
        <v>0</v>
      </c>
      <c r="P49" s="661">
        <v>0</v>
      </c>
      <c r="Q49" s="666">
        <v>0</v>
      </c>
      <c r="R49" s="89"/>
      <c r="S49" s="90"/>
      <c r="T49" s="90">
        <v>6000</v>
      </c>
      <c r="U49" s="90">
        <v>0</v>
      </c>
      <c r="V49" s="90">
        <v>20000</v>
      </c>
      <c r="W49" s="90">
        <v>0</v>
      </c>
      <c r="X49" s="21" t="s">
        <v>131</v>
      </c>
      <c r="Y49" s="90">
        <v>12000</v>
      </c>
      <c r="Z49" s="90">
        <v>3000</v>
      </c>
      <c r="AA49" s="498" t="s">
        <v>271</v>
      </c>
      <c r="AB49" s="90" t="s">
        <v>272</v>
      </c>
      <c r="AC49" s="90"/>
      <c r="AD49" s="90"/>
      <c r="AE49" s="90"/>
      <c r="AG49" s="174">
        <v>9</v>
      </c>
      <c r="AH49" s="174" t="str">
        <f>B25</f>
        <v>Liễu Hoàng Phong</v>
      </c>
      <c r="AI49" s="174" t="s">
        <v>179</v>
      </c>
      <c r="AJ49" s="302">
        <f t="shared" ref="AJ49:AU49" si="105">AJ17</f>
        <v>2711000</v>
      </c>
      <c r="AK49" s="302">
        <f t="shared" si="105"/>
        <v>2767000</v>
      </c>
      <c r="AL49" s="302">
        <f t="shared" si="105"/>
        <v>0</v>
      </c>
      <c r="AM49" s="302">
        <f t="shared" si="105"/>
        <v>0</v>
      </c>
      <c r="AN49" s="302">
        <f t="shared" si="105"/>
        <v>0</v>
      </c>
      <c r="AO49" s="302">
        <f t="shared" si="105"/>
        <v>0</v>
      </c>
      <c r="AP49" s="302">
        <f t="shared" si="105"/>
        <v>0</v>
      </c>
      <c r="AQ49" s="302">
        <f t="shared" si="105"/>
        <v>0</v>
      </c>
      <c r="AR49" s="302">
        <f t="shared" si="105"/>
        <v>0</v>
      </c>
      <c r="AS49" s="302">
        <f t="shared" si="105"/>
        <v>0</v>
      </c>
      <c r="AT49" s="302">
        <f t="shared" si="105"/>
        <v>0</v>
      </c>
      <c r="AU49" s="302">
        <f t="shared" si="105"/>
        <v>0</v>
      </c>
      <c r="AV49" s="302"/>
      <c r="HC49" s="534"/>
    </row>
    <row r="50" spans="1:211" ht="15.75" customHeight="1">
      <c r="A50" s="95">
        <v>42</v>
      </c>
      <c r="B50" s="935"/>
      <c r="C50" s="920"/>
      <c r="D50" s="660" t="s">
        <v>139</v>
      </c>
      <c r="E50" s="661">
        <v>245</v>
      </c>
      <c r="F50" s="661">
        <v>263</v>
      </c>
      <c r="G50" s="661">
        <v>285</v>
      </c>
      <c r="H50" s="661"/>
      <c r="I50" s="661"/>
      <c r="J50" s="661"/>
      <c r="K50" s="661"/>
      <c r="L50" s="661"/>
      <c r="M50" s="661"/>
      <c r="N50" s="661"/>
      <c r="O50" s="661"/>
      <c r="P50" s="661"/>
      <c r="Q50" s="666"/>
      <c r="R50" s="89"/>
      <c r="S50" s="90"/>
      <c r="T50" s="90"/>
      <c r="U50" s="90"/>
      <c r="V50" s="90"/>
      <c r="W50" s="90"/>
      <c r="X50" s="21"/>
      <c r="Y50" s="90"/>
      <c r="Z50" s="90">
        <v>15000</v>
      </c>
      <c r="AA50" s="498" t="s">
        <v>271</v>
      </c>
      <c r="AB50" s="90" t="s">
        <v>132</v>
      </c>
      <c r="AC50" s="90"/>
      <c r="AD50" s="90"/>
      <c r="AE50" s="90"/>
      <c r="AG50" s="174">
        <v>10</v>
      </c>
      <c r="AH50" s="174" t="str">
        <f>B27</f>
        <v>Mai Ánh Điệp</v>
      </c>
      <c r="AI50" s="174" t="s">
        <v>188</v>
      </c>
      <c r="AJ50" s="302">
        <f t="shared" ref="AJ50:AU50" si="106">AJ18</f>
        <v>2601000</v>
      </c>
      <c r="AK50" s="302">
        <f t="shared" si="106"/>
        <v>2507000</v>
      </c>
      <c r="AL50" s="302">
        <f t="shared" si="106"/>
        <v>0</v>
      </c>
      <c r="AM50" s="302">
        <f t="shared" si="106"/>
        <v>0</v>
      </c>
      <c r="AN50" s="302">
        <f t="shared" si="106"/>
        <v>0</v>
      </c>
      <c r="AO50" s="302">
        <f t="shared" si="106"/>
        <v>0</v>
      </c>
      <c r="AP50" s="302">
        <f t="shared" si="106"/>
        <v>0</v>
      </c>
      <c r="AQ50" s="302">
        <f t="shared" si="106"/>
        <v>0</v>
      </c>
      <c r="AR50" s="302">
        <f t="shared" si="106"/>
        <v>0</v>
      </c>
      <c r="AS50" s="302">
        <f t="shared" si="106"/>
        <v>0</v>
      </c>
      <c r="AT50" s="302">
        <f t="shared" si="106"/>
        <v>0</v>
      </c>
      <c r="AU50" s="302">
        <f t="shared" si="106"/>
        <v>0</v>
      </c>
      <c r="AV50" s="302"/>
    </row>
    <row r="51" spans="1:211" ht="15.75" customHeight="1">
      <c r="A51" s="78">
        <v>43</v>
      </c>
      <c r="B51" s="936" t="s">
        <v>275</v>
      </c>
      <c r="C51" s="921" t="s">
        <v>276</v>
      </c>
      <c r="D51" s="662" t="s">
        <v>128</v>
      </c>
      <c r="E51" s="302">
        <v>0</v>
      </c>
      <c r="F51" s="302">
        <v>0</v>
      </c>
      <c r="G51" s="302">
        <v>0</v>
      </c>
      <c r="H51" s="302">
        <v>0</v>
      </c>
      <c r="I51" s="302">
        <v>0</v>
      </c>
      <c r="J51" s="302">
        <v>0</v>
      </c>
      <c r="K51" s="302">
        <v>0</v>
      </c>
      <c r="L51" s="302">
        <v>0</v>
      </c>
      <c r="M51" s="302">
        <v>0</v>
      </c>
      <c r="N51" s="302">
        <v>0</v>
      </c>
      <c r="O51" s="302">
        <v>0</v>
      </c>
      <c r="P51" s="302">
        <v>0</v>
      </c>
      <c r="Q51" s="305">
        <v>0</v>
      </c>
      <c r="R51" s="90"/>
      <c r="S51" s="90"/>
      <c r="T51" s="90">
        <v>4000</v>
      </c>
      <c r="U51" s="90">
        <v>0</v>
      </c>
      <c r="V51" s="90">
        <v>0</v>
      </c>
      <c r="W51" s="90">
        <v>0</v>
      </c>
      <c r="X51" s="21" t="s">
        <v>277</v>
      </c>
      <c r="Y51" s="90">
        <v>8000</v>
      </c>
      <c r="Z51" s="90">
        <v>3000</v>
      </c>
      <c r="AA51" s="498" t="s">
        <v>276</v>
      </c>
      <c r="AB51" s="90" t="s">
        <v>272</v>
      </c>
      <c r="AC51" s="90"/>
      <c r="AD51" s="90"/>
      <c r="AE51" s="90"/>
      <c r="AG51" s="174">
        <v>11</v>
      </c>
      <c r="AH51" s="174" t="str">
        <f>B29</f>
        <v>Nguyễn Văn Nhí</v>
      </c>
      <c r="AI51" s="174" t="s">
        <v>194</v>
      </c>
      <c r="AJ51" s="302">
        <f t="shared" ref="AJ51:AU51" si="107">AJ19</f>
        <v>2716000</v>
      </c>
      <c r="AK51" s="302">
        <f t="shared" si="107"/>
        <v>2582000</v>
      </c>
      <c r="AL51" s="302">
        <f t="shared" si="107"/>
        <v>0</v>
      </c>
      <c r="AM51" s="302">
        <f t="shared" si="107"/>
        <v>0</v>
      </c>
      <c r="AN51" s="302">
        <f t="shared" si="107"/>
        <v>0</v>
      </c>
      <c r="AO51" s="302">
        <f t="shared" si="107"/>
        <v>0</v>
      </c>
      <c r="AP51" s="302">
        <f t="shared" si="107"/>
        <v>0</v>
      </c>
      <c r="AQ51" s="302">
        <f t="shared" si="107"/>
        <v>0</v>
      </c>
      <c r="AR51" s="302">
        <f t="shared" si="107"/>
        <v>0</v>
      </c>
      <c r="AS51" s="302">
        <f t="shared" si="107"/>
        <v>0</v>
      </c>
      <c r="AT51" s="302">
        <f t="shared" si="107"/>
        <v>0</v>
      </c>
      <c r="AU51" s="302">
        <f t="shared" si="107"/>
        <v>0</v>
      </c>
      <c r="AV51" s="302"/>
    </row>
    <row r="52" spans="1:211" ht="15.75" customHeight="1">
      <c r="A52" s="95">
        <v>44</v>
      </c>
      <c r="B52" s="935"/>
      <c r="C52" s="920"/>
      <c r="D52" s="662" t="s">
        <v>139</v>
      </c>
      <c r="E52" s="302">
        <v>0</v>
      </c>
      <c r="F52" s="302">
        <v>0</v>
      </c>
      <c r="G52" s="302">
        <v>0</v>
      </c>
      <c r="H52" s="302">
        <v>0</v>
      </c>
      <c r="I52" s="302">
        <v>0</v>
      </c>
      <c r="J52" s="302">
        <v>0</v>
      </c>
      <c r="K52" s="302">
        <v>0</v>
      </c>
      <c r="L52" s="302">
        <v>0</v>
      </c>
      <c r="M52" s="302">
        <v>0</v>
      </c>
      <c r="N52" s="302">
        <v>0</v>
      </c>
      <c r="O52" s="302">
        <v>0</v>
      </c>
      <c r="P52" s="302">
        <v>0</v>
      </c>
      <c r="Q52" s="305">
        <v>0</v>
      </c>
      <c r="R52" s="90"/>
      <c r="S52" s="90"/>
      <c r="T52" s="90"/>
      <c r="U52" s="90"/>
      <c r="V52" s="90"/>
      <c r="W52" s="90"/>
      <c r="X52" s="21"/>
      <c r="Y52" s="90"/>
      <c r="Z52" s="90">
        <v>20000</v>
      </c>
      <c r="AA52" s="498" t="s">
        <v>276</v>
      </c>
      <c r="AB52" s="90" t="s">
        <v>132</v>
      </c>
      <c r="AC52" s="90"/>
      <c r="AD52" s="90"/>
      <c r="AE52" s="90"/>
      <c r="AG52" s="174">
        <v>12</v>
      </c>
      <c r="AH52" s="174" t="str">
        <f>B31</f>
        <v>Đặng Hoàng Nhã</v>
      </c>
      <c r="AI52" s="174" t="s">
        <v>201</v>
      </c>
      <c r="AJ52" s="302">
        <f t="shared" ref="AJ52:AU52" si="108">AJ20</f>
        <v>1954000</v>
      </c>
      <c r="AK52" s="302">
        <f t="shared" si="108"/>
        <v>1916000</v>
      </c>
      <c r="AL52" s="302">
        <f t="shared" si="108"/>
        <v>0</v>
      </c>
      <c r="AM52" s="302">
        <f t="shared" si="108"/>
        <v>0</v>
      </c>
      <c r="AN52" s="302">
        <f t="shared" si="108"/>
        <v>0</v>
      </c>
      <c r="AO52" s="302">
        <f t="shared" si="108"/>
        <v>0</v>
      </c>
      <c r="AP52" s="302">
        <f t="shared" si="108"/>
        <v>0</v>
      </c>
      <c r="AQ52" s="302">
        <f t="shared" si="108"/>
        <v>0</v>
      </c>
      <c r="AR52" s="302">
        <f t="shared" si="108"/>
        <v>0</v>
      </c>
      <c r="AS52" s="302">
        <f t="shared" si="108"/>
        <v>0</v>
      </c>
      <c r="AT52" s="302">
        <f t="shared" si="108"/>
        <v>0</v>
      </c>
      <c r="AU52" s="302">
        <f t="shared" si="108"/>
        <v>0</v>
      </c>
      <c r="AV52" s="302"/>
    </row>
    <row r="53" spans="1:211" ht="15.75" customHeight="1">
      <c r="A53" s="78">
        <v>45</v>
      </c>
      <c r="B53" s="934" t="s">
        <v>288</v>
      </c>
      <c r="C53" s="919" t="s">
        <v>289</v>
      </c>
      <c r="D53" s="660" t="s">
        <v>128</v>
      </c>
      <c r="E53" s="661">
        <v>12674</v>
      </c>
      <c r="F53" s="661">
        <v>12842</v>
      </c>
      <c r="G53" s="661">
        <v>13013</v>
      </c>
      <c r="H53" s="661"/>
      <c r="I53" s="661"/>
      <c r="J53" s="661"/>
      <c r="K53" s="661"/>
      <c r="L53" s="661"/>
      <c r="M53" s="661"/>
      <c r="N53" s="661"/>
      <c r="O53" s="661"/>
      <c r="P53" s="661"/>
      <c r="Q53" s="666"/>
      <c r="R53" s="89"/>
      <c r="S53" s="90"/>
      <c r="T53" s="90">
        <v>2100</v>
      </c>
      <c r="U53" s="90">
        <v>0</v>
      </c>
      <c r="V53" s="90">
        <v>0</v>
      </c>
      <c r="W53" s="90">
        <v>0</v>
      </c>
      <c r="X53" s="21" t="s">
        <v>290</v>
      </c>
      <c r="Y53" s="90">
        <v>4000</v>
      </c>
      <c r="Z53" s="90">
        <v>3000</v>
      </c>
      <c r="AA53" s="498" t="s">
        <v>289</v>
      </c>
      <c r="AB53" s="90" t="s">
        <v>272</v>
      </c>
      <c r="AC53" s="90"/>
      <c r="AD53" s="90"/>
      <c r="AE53" s="90"/>
      <c r="AG53" s="174">
        <v>13</v>
      </c>
      <c r="AH53" s="174" t="str">
        <f>B33</f>
        <v>Võ Văn Thạnh</v>
      </c>
      <c r="AI53" s="174" t="s">
        <v>213</v>
      </c>
      <c r="AJ53" s="302">
        <f t="shared" ref="AJ53:AU53" si="109">AJ21</f>
        <v>2047000</v>
      </c>
      <c r="AK53" s="302">
        <f t="shared" si="109"/>
        <v>2124000</v>
      </c>
      <c r="AL53" s="302">
        <f t="shared" si="109"/>
        <v>0</v>
      </c>
      <c r="AM53" s="302">
        <f t="shared" si="109"/>
        <v>0</v>
      </c>
      <c r="AN53" s="302">
        <f t="shared" si="109"/>
        <v>0</v>
      </c>
      <c r="AO53" s="302">
        <f t="shared" si="109"/>
        <v>0</v>
      </c>
      <c r="AP53" s="302">
        <f t="shared" si="109"/>
        <v>0</v>
      </c>
      <c r="AQ53" s="302">
        <f t="shared" si="109"/>
        <v>0</v>
      </c>
      <c r="AR53" s="302">
        <f t="shared" si="109"/>
        <v>0</v>
      </c>
      <c r="AS53" s="302">
        <f t="shared" si="109"/>
        <v>0</v>
      </c>
      <c r="AT53" s="302">
        <f t="shared" si="109"/>
        <v>0</v>
      </c>
      <c r="AU53" s="302">
        <f t="shared" si="109"/>
        <v>0</v>
      </c>
      <c r="AV53" s="302"/>
    </row>
    <row r="54" spans="1:211" ht="15.75" customHeight="1">
      <c r="A54" s="95">
        <v>46</v>
      </c>
      <c r="B54" s="935"/>
      <c r="C54" s="920"/>
      <c r="D54" s="660" t="s">
        <v>139</v>
      </c>
      <c r="E54" s="661">
        <v>1370</v>
      </c>
      <c r="F54" s="661">
        <v>1383</v>
      </c>
      <c r="G54" s="661">
        <v>1397</v>
      </c>
      <c r="H54" s="661"/>
      <c r="I54" s="661"/>
      <c r="J54" s="661"/>
      <c r="K54" s="661"/>
      <c r="L54" s="661"/>
      <c r="M54" s="661"/>
      <c r="N54" s="661"/>
      <c r="O54" s="661"/>
      <c r="P54" s="661"/>
      <c r="Q54" s="666"/>
      <c r="R54" s="89"/>
      <c r="S54" s="90"/>
      <c r="T54" s="90"/>
      <c r="U54" s="90"/>
      <c r="V54" s="90"/>
      <c r="W54" s="90"/>
      <c r="X54" s="21"/>
      <c r="Y54" s="90"/>
      <c r="Z54" s="90">
        <v>20000</v>
      </c>
      <c r="AA54" s="498" t="s">
        <v>289</v>
      </c>
      <c r="AB54" s="90" t="s">
        <v>132</v>
      </c>
      <c r="AC54" s="90"/>
      <c r="AD54" s="90"/>
      <c r="AE54" s="90"/>
      <c r="AG54" s="174">
        <v>14</v>
      </c>
      <c r="AH54" s="174" t="str">
        <f>B35</f>
        <v>Nguyễn Phúc Kha</v>
      </c>
      <c r="AI54" s="174" t="s">
        <v>220</v>
      </c>
      <c r="AJ54" s="302">
        <f t="shared" ref="AJ54:AU54" si="110">AJ22</f>
        <v>1923000</v>
      </c>
      <c r="AK54" s="302">
        <f t="shared" si="110"/>
        <v>1894000</v>
      </c>
      <c r="AL54" s="302">
        <f t="shared" si="110"/>
        <v>0</v>
      </c>
      <c r="AM54" s="302">
        <f t="shared" si="110"/>
        <v>0</v>
      </c>
      <c r="AN54" s="302">
        <f t="shared" si="110"/>
        <v>0</v>
      </c>
      <c r="AO54" s="302">
        <f t="shared" si="110"/>
        <v>0</v>
      </c>
      <c r="AP54" s="302">
        <f t="shared" si="110"/>
        <v>0</v>
      </c>
      <c r="AQ54" s="302">
        <f t="shared" si="110"/>
        <v>0</v>
      </c>
      <c r="AR54" s="302">
        <f t="shared" si="110"/>
        <v>0</v>
      </c>
      <c r="AS54" s="302">
        <f t="shared" si="110"/>
        <v>0</v>
      </c>
      <c r="AT54" s="302">
        <f t="shared" si="110"/>
        <v>0</v>
      </c>
      <c r="AU54" s="302">
        <f t="shared" si="110"/>
        <v>0</v>
      </c>
      <c r="AV54" s="302"/>
    </row>
    <row r="55" spans="1:211" ht="15.75" customHeight="1">
      <c r="A55" s="78">
        <v>47</v>
      </c>
      <c r="B55" s="936" t="s">
        <v>291</v>
      </c>
      <c r="C55" s="921" t="s">
        <v>292</v>
      </c>
      <c r="D55" s="662" t="s">
        <v>128</v>
      </c>
      <c r="E55" s="302">
        <v>784</v>
      </c>
      <c r="F55" s="302">
        <v>865</v>
      </c>
      <c r="G55" s="302">
        <v>915</v>
      </c>
      <c r="H55" s="302"/>
      <c r="I55" s="302"/>
      <c r="J55" s="302"/>
      <c r="K55" s="302"/>
      <c r="L55" s="302"/>
      <c r="M55" s="302"/>
      <c r="N55" s="302"/>
      <c r="O55" s="302"/>
      <c r="P55" s="302"/>
      <c r="Q55" s="305"/>
      <c r="R55" s="90"/>
      <c r="S55" s="90"/>
      <c r="T55" s="90">
        <v>2100</v>
      </c>
      <c r="U55" s="90">
        <v>15000</v>
      </c>
      <c r="V55" s="90">
        <v>0</v>
      </c>
      <c r="W55" s="90">
        <v>0</v>
      </c>
      <c r="X55" s="21" t="s">
        <v>131</v>
      </c>
      <c r="Y55" s="90">
        <v>1000</v>
      </c>
      <c r="Z55" s="90">
        <v>3000</v>
      </c>
      <c r="AA55" s="498" t="s">
        <v>292</v>
      </c>
      <c r="AB55" s="90" t="s">
        <v>132</v>
      </c>
      <c r="AC55" s="90"/>
      <c r="AD55" s="90"/>
      <c r="AE55" s="90"/>
      <c r="AG55" s="174">
        <v>15</v>
      </c>
      <c r="AH55" s="174" t="str">
        <f>B37</f>
        <v>Trần Văn Mạnh</v>
      </c>
      <c r="AI55" s="174" t="s">
        <v>226</v>
      </c>
      <c r="AJ55" s="302">
        <f t="shared" ref="AJ55:AU55" si="111">AJ23</f>
        <v>2298000</v>
      </c>
      <c r="AK55" s="302">
        <f t="shared" si="111"/>
        <v>2521000</v>
      </c>
      <c r="AL55" s="302">
        <f t="shared" si="111"/>
        <v>0</v>
      </c>
      <c r="AM55" s="302">
        <f t="shared" si="111"/>
        <v>0</v>
      </c>
      <c r="AN55" s="302">
        <f t="shared" si="111"/>
        <v>0</v>
      </c>
      <c r="AO55" s="302">
        <f t="shared" si="111"/>
        <v>0</v>
      </c>
      <c r="AP55" s="302">
        <f t="shared" si="111"/>
        <v>0</v>
      </c>
      <c r="AQ55" s="302">
        <f t="shared" si="111"/>
        <v>0</v>
      </c>
      <c r="AR55" s="302">
        <f t="shared" si="111"/>
        <v>0</v>
      </c>
      <c r="AS55" s="302">
        <f t="shared" si="111"/>
        <v>0</v>
      </c>
      <c r="AT55" s="302">
        <f t="shared" si="111"/>
        <v>0</v>
      </c>
      <c r="AU55" s="302">
        <f t="shared" si="111"/>
        <v>0</v>
      </c>
      <c r="AV55" s="302"/>
    </row>
    <row r="56" spans="1:211" ht="15.75" customHeight="1">
      <c r="A56" s="95">
        <v>48</v>
      </c>
      <c r="B56" s="935"/>
      <c r="C56" s="920"/>
      <c r="D56" s="662" t="s">
        <v>139</v>
      </c>
      <c r="E56" s="302">
        <v>73</v>
      </c>
      <c r="F56" s="302">
        <v>79</v>
      </c>
      <c r="G56" s="302">
        <v>83</v>
      </c>
      <c r="H56" s="302"/>
      <c r="I56" s="302"/>
      <c r="J56" s="302"/>
      <c r="K56" s="302"/>
      <c r="L56" s="302"/>
      <c r="M56" s="302"/>
      <c r="N56" s="302"/>
      <c r="O56" s="302"/>
      <c r="P56" s="302"/>
      <c r="Q56" s="305"/>
      <c r="R56" s="90"/>
      <c r="S56" s="90"/>
      <c r="T56" s="90"/>
      <c r="U56" s="90"/>
      <c r="V56" s="90"/>
      <c r="W56" s="90"/>
      <c r="X56" s="21"/>
      <c r="Y56" s="90"/>
      <c r="Z56" s="90">
        <v>20000</v>
      </c>
      <c r="AA56" s="498" t="s">
        <v>292</v>
      </c>
      <c r="AB56" s="90" t="s">
        <v>132</v>
      </c>
      <c r="AC56" s="90"/>
      <c r="AD56" s="90"/>
      <c r="AE56" s="90"/>
      <c r="AG56" s="174">
        <v>16</v>
      </c>
      <c r="AH56" s="174" t="str">
        <f>B39</f>
        <v>Từ Minh Trí</v>
      </c>
      <c r="AI56" s="174" t="s">
        <v>234</v>
      </c>
      <c r="AJ56" s="302">
        <f t="shared" ref="AJ56:AU56" si="112">AJ24</f>
        <v>1817000</v>
      </c>
      <c r="AK56" s="302">
        <f t="shared" si="112"/>
        <v>1985000</v>
      </c>
      <c r="AL56" s="302">
        <f t="shared" si="112"/>
        <v>0</v>
      </c>
      <c r="AM56" s="302">
        <f t="shared" si="112"/>
        <v>0</v>
      </c>
      <c r="AN56" s="302">
        <f t="shared" si="112"/>
        <v>0</v>
      </c>
      <c r="AO56" s="302">
        <f t="shared" si="112"/>
        <v>0</v>
      </c>
      <c r="AP56" s="302">
        <f t="shared" si="112"/>
        <v>0</v>
      </c>
      <c r="AQ56" s="302">
        <f t="shared" si="112"/>
        <v>0</v>
      </c>
      <c r="AR56" s="302">
        <f t="shared" si="112"/>
        <v>0</v>
      </c>
      <c r="AS56" s="302">
        <f t="shared" si="112"/>
        <v>0</v>
      </c>
      <c r="AT56" s="302">
        <f t="shared" si="112"/>
        <v>0</v>
      </c>
      <c r="AU56" s="302">
        <f t="shared" si="112"/>
        <v>0</v>
      </c>
      <c r="AV56" s="302"/>
    </row>
    <row r="57" spans="1:211" ht="15.75" customHeight="1">
      <c r="A57" s="78">
        <v>49</v>
      </c>
      <c r="B57" s="934" t="s">
        <v>661</v>
      </c>
      <c r="C57" s="919" t="s">
        <v>299</v>
      </c>
      <c r="D57" s="660" t="s">
        <v>128</v>
      </c>
      <c r="E57" s="661">
        <v>1808</v>
      </c>
      <c r="F57" s="661">
        <v>1956</v>
      </c>
      <c r="G57" s="661">
        <v>2055</v>
      </c>
      <c r="H57" s="661"/>
      <c r="I57" s="661"/>
      <c r="J57" s="661"/>
      <c r="K57" s="661"/>
      <c r="L57" s="661"/>
      <c r="M57" s="661"/>
      <c r="N57" s="661"/>
      <c r="O57" s="661"/>
      <c r="P57" s="661"/>
      <c r="Q57" s="666"/>
      <c r="R57" s="89"/>
      <c r="S57" s="90"/>
      <c r="T57" s="90">
        <v>2100</v>
      </c>
      <c r="U57" s="90">
        <v>15000</v>
      </c>
      <c r="V57" s="90">
        <v>0</v>
      </c>
      <c r="W57" s="90">
        <v>0</v>
      </c>
      <c r="X57" s="21" t="s">
        <v>131</v>
      </c>
      <c r="Y57" s="90">
        <v>1000</v>
      </c>
      <c r="Z57" s="90">
        <v>3000</v>
      </c>
      <c r="AA57" s="498" t="s">
        <v>299</v>
      </c>
      <c r="AB57" s="90" t="s">
        <v>132</v>
      </c>
      <c r="AC57" s="90"/>
      <c r="AD57" s="90"/>
      <c r="AE57" s="90"/>
      <c r="AG57" s="174">
        <v>17</v>
      </c>
      <c r="AH57" s="174" t="str">
        <f>B41</f>
        <v>Nông Quốc Thịnh</v>
      </c>
      <c r="AI57" s="174" t="s">
        <v>241</v>
      </c>
      <c r="AJ57" s="302">
        <f t="shared" ref="AJ57:AU57" si="113">AJ25</f>
        <v>1803000</v>
      </c>
      <c r="AK57" s="302">
        <f t="shared" si="113"/>
        <v>1803000</v>
      </c>
      <c r="AL57" s="302">
        <f t="shared" si="113"/>
        <v>0</v>
      </c>
      <c r="AM57" s="302">
        <f t="shared" si="113"/>
        <v>0</v>
      </c>
      <c r="AN57" s="302">
        <f t="shared" si="113"/>
        <v>0</v>
      </c>
      <c r="AO57" s="302">
        <f t="shared" si="113"/>
        <v>0</v>
      </c>
      <c r="AP57" s="302">
        <f t="shared" si="113"/>
        <v>0</v>
      </c>
      <c r="AQ57" s="302">
        <f t="shared" si="113"/>
        <v>0</v>
      </c>
      <c r="AR57" s="302">
        <f t="shared" si="113"/>
        <v>0</v>
      </c>
      <c r="AS57" s="302">
        <f t="shared" si="113"/>
        <v>0</v>
      </c>
      <c r="AT57" s="302">
        <f t="shared" si="113"/>
        <v>0</v>
      </c>
      <c r="AU57" s="302">
        <f t="shared" si="113"/>
        <v>0</v>
      </c>
      <c r="AV57" s="302"/>
    </row>
    <row r="58" spans="1:211" ht="15.75" customHeight="1">
      <c r="A58" s="95">
        <v>50</v>
      </c>
      <c r="B58" s="935"/>
      <c r="C58" s="920"/>
      <c r="D58" s="660" t="s">
        <v>139</v>
      </c>
      <c r="E58" s="661">
        <v>82</v>
      </c>
      <c r="F58" s="661">
        <v>89</v>
      </c>
      <c r="G58" s="661">
        <v>93</v>
      </c>
      <c r="H58" s="661"/>
      <c r="I58" s="661"/>
      <c r="J58" s="661"/>
      <c r="K58" s="661"/>
      <c r="L58" s="661"/>
      <c r="M58" s="661"/>
      <c r="N58" s="661"/>
      <c r="O58" s="661"/>
      <c r="P58" s="661"/>
      <c r="Q58" s="666"/>
      <c r="R58" s="89"/>
      <c r="S58" s="90"/>
      <c r="T58" s="90"/>
      <c r="U58" s="90"/>
      <c r="V58" s="90"/>
      <c r="W58" s="90"/>
      <c r="X58" s="21"/>
      <c r="Y58" s="90"/>
      <c r="Z58" s="90">
        <v>20000</v>
      </c>
      <c r="AA58" s="498" t="s">
        <v>299</v>
      </c>
      <c r="AB58" s="90" t="s">
        <v>132</v>
      </c>
      <c r="AC58" s="90"/>
      <c r="AD58" s="90"/>
      <c r="AE58" s="90"/>
      <c r="AG58" s="174">
        <v>18</v>
      </c>
      <c r="AH58" s="174" t="str">
        <f>B43</f>
        <v>Ngô Hoàng Minh</v>
      </c>
      <c r="AI58" s="174" t="s">
        <v>247</v>
      </c>
      <c r="AJ58" s="302">
        <f t="shared" ref="AJ58:AU58" si="114">AJ26</f>
        <v>1965000</v>
      </c>
      <c r="AK58" s="302">
        <f t="shared" si="114"/>
        <v>2014000</v>
      </c>
      <c r="AL58" s="302">
        <f t="shared" si="114"/>
        <v>0</v>
      </c>
      <c r="AM58" s="302">
        <f t="shared" si="114"/>
        <v>0</v>
      </c>
      <c r="AN58" s="302">
        <f t="shared" si="114"/>
        <v>0</v>
      </c>
      <c r="AO58" s="302">
        <f t="shared" si="114"/>
        <v>0</v>
      </c>
      <c r="AP58" s="302">
        <f t="shared" si="114"/>
        <v>0</v>
      </c>
      <c r="AQ58" s="302">
        <f t="shared" si="114"/>
        <v>0</v>
      </c>
      <c r="AR58" s="302">
        <f t="shared" si="114"/>
        <v>0</v>
      </c>
      <c r="AS58" s="302">
        <f t="shared" si="114"/>
        <v>0</v>
      </c>
      <c r="AT58" s="302">
        <f t="shared" si="114"/>
        <v>0</v>
      </c>
      <c r="AU58" s="302">
        <f t="shared" si="114"/>
        <v>0</v>
      </c>
      <c r="AV58" s="302"/>
    </row>
    <row r="59" spans="1:211" ht="15.75" customHeight="1">
      <c r="A59" s="78">
        <v>51</v>
      </c>
      <c r="B59" s="936" t="s">
        <v>300</v>
      </c>
      <c r="C59" s="921" t="s">
        <v>301</v>
      </c>
      <c r="D59" s="662" t="s">
        <v>128</v>
      </c>
      <c r="E59" s="302">
        <v>2735</v>
      </c>
      <c r="F59" s="302">
        <v>2960</v>
      </c>
      <c r="G59" s="302">
        <v>3200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5"/>
      <c r="R59" s="90"/>
      <c r="S59" s="90"/>
      <c r="T59" s="90">
        <v>2100</v>
      </c>
      <c r="U59" s="90">
        <v>15000</v>
      </c>
      <c r="V59" s="90">
        <v>0</v>
      </c>
      <c r="W59" s="90">
        <v>0</v>
      </c>
      <c r="X59" s="21" t="s">
        <v>131</v>
      </c>
      <c r="Y59" s="90">
        <v>1000</v>
      </c>
      <c r="Z59" s="90">
        <v>3000</v>
      </c>
      <c r="AA59" s="498" t="s">
        <v>301</v>
      </c>
      <c r="AB59" s="90" t="s">
        <v>132</v>
      </c>
      <c r="AC59" s="90"/>
      <c r="AD59" s="90"/>
      <c r="AE59" s="90"/>
      <c r="AG59" s="174">
        <v>19</v>
      </c>
      <c r="AH59" s="174" t="str">
        <f>B45</f>
        <v>Nguyễn Ngọc Hồng</v>
      </c>
      <c r="AI59" s="174" t="s">
        <v>254</v>
      </c>
      <c r="AJ59" s="302">
        <f t="shared" ref="AJ59:AU59" si="115">AJ27</f>
        <v>2107000</v>
      </c>
      <c r="AK59" s="302">
        <f t="shared" si="115"/>
        <v>2224000</v>
      </c>
      <c r="AL59" s="302">
        <f t="shared" si="115"/>
        <v>0</v>
      </c>
      <c r="AM59" s="302">
        <f t="shared" si="115"/>
        <v>0</v>
      </c>
      <c r="AN59" s="302">
        <f t="shared" si="115"/>
        <v>0</v>
      </c>
      <c r="AO59" s="302">
        <f t="shared" si="115"/>
        <v>0</v>
      </c>
      <c r="AP59" s="302">
        <f t="shared" si="115"/>
        <v>0</v>
      </c>
      <c r="AQ59" s="302">
        <f t="shared" si="115"/>
        <v>0</v>
      </c>
      <c r="AR59" s="302">
        <f t="shared" si="115"/>
        <v>0</v>
      </c>
      <c r="AS59" s="302">
        <f t="shared" si="115"/>
        <v>0</v>
      </c>
      <c r="AT59" s="302">
        <f t="shared" si="115"/>
        <v>0</v>
      </c>
      <c r="AU59" s="302">
        <f t="shared" si="115"/>
        <v>0</v>
      </c>
      <c r="AV59" s="302"/>
    </row>
    <row r="60" spans="1:211" ht="15.75" customHeight="1">
      <c r="A60" s="95">
        <v>52</v>
      </c>
      <c r="B60" s="935"/>
      <c r="C60" s="920"/>
      <c r="D60" s="662" t="s">
        <v>139</v>
      </c>
      <c r="E60" s="302">
        <v>136</v>
      </c>
      <c r="F60" s="302">
        <v>142</v>
      </c>
      <c r="G60" s="302">
        <v>150</v>
      </c>
      <c r="H60" s="302"/>
      <c r="I60" s="302"/>
      <c r="J60" s="302"/>
      <c r="K60" s="302"/>
      <c r="L60" s="302"/>
      <c r="M60" s="302"/>
      <c r="N60" s="302"/>
      <c r="O60" s="302"/>
      <c r="P60" s="302"/>
      <c r="Q60" s="305"/>
      <c r="R60" s="90"/>
      <c r="S60" s="90"/>
      <c r="T60" s="90"/>
      <c r="U60" s="90"/>
      <c r="V60" s="90"/>
      <c r="W60" s="90"/>
      <c r="X60" s="21"/>
      <c r="Y60" s="90"/>
      <c r="Z60" s="90">
        <v>20000</v>
      </c>
      <c r="AA60" s="498" t="s">
        <v>301</v>
      </c>
      <c r="AB60" s="90" t="s">
        <v>132</v>
      </c>
      <c r="AC60" s="90"/>
      <c r="AD60" s="90"/>
      <c r="AE60" s="90"/>
      <c r="AG60" s="174">
        <v>20</v>
      </c>
      <c r="AH60" s="174" t="str">
        <f>B47</f>
        <v>Mai Ánh Điệp</v>
      </c>
      <c r="AI60" s="174" t="s">
        <v>258</v>
      </c>
      <c r="AJ60" s="302">
        <f t="shared" ref="AJ60:AU60" si="116">AJ28</f>
        <v>575000</v>
      </c>
      <c r="AK60" s="302">
        <f t="shared" si="116"/>
        <v>75000</v>
      </c>
      <c r="AL60" s="302">
        <f t="shared" si="116"/>
        <v>0</v>
      </c>
      <c r="AM60" s="302">
        <f t="shared" si="116"/>
        <v>0</v>
      </c>
      <c r="AN60" s="302">
        <f t="shared" si="116"/>
        <v>0</v>
      </c>
      <c r="AO60" s="302">
        <f t="shared" si="116"/>
        <v>0</v>
      </c>
      <c r="AP60" s="302">
        <f t="shared" si="116"/>
        <v>0</v>
      </c>
      <c r="AQ60" s="302">
        <f t="shared" si="116"/>
        <v>0</v>
      </c>
      <c r="AR60" s="302">
        <f t="shared" si="116"/>
        <v>0</v>
      </c>
      <c r="AS60" s="302">
        <f t="shared" si="116"/>
        <v>0</v>
      </c>
      <c r="AT60" s="302">
        <f t="shared" si="116"/>
        <v>0</v>
      </c>
      <c r="AU60" s="302">
        <f t="shared" si="116"/>
        <v>0</v>
      </c>
      <c r="AV60" s="302"/>
    </row>
    <row r="61" spans="1:211" ht="15.75" customHeight="1">
      <c r="A61" s="78">
        <v>53</v>
      </c>
      <c r="B61" s="934" t="s">
        <v>302</v>
      </c>
      <c r="C61" s="919" t="s">
        <v>303</v>
      </c>
      <c r="D61" s="660" t="s">
        <v>128</v>
      </c>
      <c r="E61" s="661">
        <v>0</v>
      </c>
      <c r="F61" s="661">
        <v>0</v>
      </c>
      <c r="G61" s="661">
        <v>0</v>
      </c>
      <c r="H61" s="661">
        <v>0</v>
      </c>
      <c r="I61" s="661">
        <v>0</v>
      </c>
      <c r="J61" s="661">
        <v>0</v>
      </c>
      <c r="K61" s="661">
        <v>0</v>
      </c>
      <c r="L61" s="661">
        <v>0</v>
      </c>
      <c r="M61" s="661">
        <v>0</v>
      </c>
      <c r="N61" s="661">
        <v>0</v>
      </c>
      <c r="O61" s="661">
        <v>0</v>
      </c>
      <c r="P61" s="661">
        <v>0</v>
      </c>
      <c r="Q61" s="666">
        <v>0</v>
      </c>
      <c r="R61" s="89"/>
      <c r="S61" s="90"/>
      <c r="T61" s="90">
        <v>4000</v>
      </c>
      <c r="U61" s="90">
        <v>15000</v>
      </c>
      <c r="V61" s="90">
        <v>0</v>
      </c>
      <c r="W61" s="90">
        <v>0</v>
      </c>
      <c r="X61" s="21" t="s">
        <v>304</v>
      </c>
      <c r="Y61" s="90">
        <v>6000</v>
      </c>
      <c r="Z61" s="90">
        <v>3000</v>
      </c>
      <c r="AA61" s="498" t="s">
        <v>303</v>
      </c>
      <c r="AB61" s="90" t="s">
        <v>132</v>
      </c>
      <c r="AC61" s="90"/>
      <c r="AD61" s="90"/>
      <c r="AE61" s="90"/>
      <c r="AG61" s="174">
        <v>21</v>
      </c>
      <c r="AH61" s="174" t="str">
        <f>B49</f>
        <v>Nguyễn Thế Sâm</v>
      </c>
      <c r="AI61" s="174" t="s">
        <v>271</v>
      </c>
      <c r="AJ61" s="302">
        <f t="shared" ref="AJ61:AU61" si="117">AJ29</f>
        <v>6290000</v>
      </c>
      <c r="AK61" s="302">
        <f t="shared" si="117"/>
        <v>6350000</v>
      </c>
      <c r="AL61" s="302">
        <f t="shared" si="117"/>
        <v>0</v>
      </c>
      <c r="AM61" s="302">
        <f t="shared" si="117"/>
        <v>0</v>
      </c>
      <c r="AN61" s="302">
        <f t="shared" si="117"/>
        <v>0</v>
      </c>
      <c r="AO61" s="302">
        <f t="shared" si="117"/>
        <v>0</v>
      </c>
      <c r="AP61" s="302">
        <f t="shared" si="117"/>
        <v>0</v>
      </c>
      <c r="AQ61" s="302">
        <f t="shared" si="117"/>
        <v>0</v>
      </c>
      <c r="AR61" s="302">
        <f t="shared" si="117"/>
        <v>0</v>
      </c>
      <c r="AS61" s="302">
        <f t="shared" si="117"/>
        <v>0</v>
      </c>
      <c r="AT61" s="302">
        <f t="shared" si="117"/>
        <v>0</v>
      </c>
      <c r="AU61" s="302">
        <f t="shared" si="117"/>
        <v>0</v>
      </c>
      <c r="AV61" s="341"/>
    </row>
    <row r="62" spans="1:211" ht="15.75" customHeight="1">
      <c r="A62" s="95">
        <v>54</v>
      </c>
      <c r="B62" s="935"/>
      <c r="C62" s="920"/>
      <c r="D62" s="660" t="s">
        <v>139</v>
      </c>
      <c r="E62" s="661">
        <v>0</v>
      </c>
      <c r="F62" s="661">
        <v>0</v>
      </c>
      <c r="G62" s="661">
        <v>0</v>
      </c>
      <c r="H62" s="661">
        <v>0</v>
      </c>
      <c r="I62" s="661">
        <v>0</v>
      </c>
      <c r="J62" s="661">
        <v>0</v>
      </c>
      <c r="K62" s="661">
        <v>0</v>
      </c>
      <c r="L62" s="661">
        <v>0</v>
      </c>
      <c r="M62" s="661">
        <v>0</v>
      </c>
      <c r="N62" s="661">
        <v>0</v>
      </c>
      <c r="O62" s="661">
        <v>0</v>
      </c>
      <c r="P62" s="661">
        <v>0</v>
      </c>
      <c r="Q62" s="666">
        <v>0</v>
      </c>
      <c r="R62" s="89"/>
      <c r="S62" s="90"/>
      <c r="T62" s="90"/>
      <c r="U62" s="90"/>
      <c r="V62" s="90"/>
      <c r="W62" s="90"/>
      <c r="X62" s="21"/>
      <c r="Y62" s="90"/>
      <c r="Z62" s="90">
        <v>20000</v>
      </c>
      <c r="AA62" s="498" t="s">
        <v>303</v>
      </c>
      <c r="AB62" s="90" t="s">
        <v>132</v>
      </c>
      <c r="AC62" s="90"/>
      <c r="AD62" s="90"/>
      <c r="AE62" s="90"/>
      <c r="AG62" s="174">
        <v>22</v>
      </c>
      <c r="AH62" s="174" t="str">
        <f>B51</f>
        <v>Hồ Thị Thúy Kiều</v>
      </c>
      <c r="AI62" s="174" t="s">
        <v>276</v>
      </c>
      <c r="AJ62" s="302">
        <f t="shared" ref="AJ62:AU62" si="118">AJ30</f>
        <v>4000000</v>
      </c>
      <c r="AK62" s="302">
        <f t="shared" si="118"/>
        <v>4000000</v>
      </c>
      <c r="AL62" s="302">
        <f t="shared" si="118"/>
        <v>0</v>
      </c>
      <c r="AM62" s="302">
        <f t="shared" si="118"/>
        <v>0</v>
      </c>
      <c r="AN62" s="302">
        <f t="shared" si="118"/>
        <v>0</v>
      </c>
      <c r="AO62" s="302">
        <f t="shared" si="118"/>
        <v>0</v>
      </c>
      <c r="AP62" s="302">
        <f t="shared" si="118"/>
        <v>0</v>
      </c>
      <c r="AQ62" s="302">
        <f t="shared" si="118"/>
        <v>0</v>
      </c>
      <c r="AR62" s="302">
        <f t="shared" si="118"/>
        <v>0</v>
      </c>
      <c r="AS62" s="302">
        <f t="shared" si="118"/>
        <v>0</v>
      </c>
      <c r="AT62" s="302">
        <f t="shared" si="118"/>
        <v>0</v>
      </c>
      <c r="AU62" s="302">
        <f t="shared" si="118"/>
        <v>0</v>
      </c>
      <c r="AV62" s="341"/>
    </row>
    <row r="63" spans="1:211" ht="15.75" customHeight="1">
      <c r="A63" s="78">
        <v>55</v>
      </c>
      <c r="B63" s="936" t="s">
        <v>305</v>
      </c>
      <c r="C63" s="921" t="s">
        <v>306</v>
      </c>
      <c r="D63" s="662" t="s">
        <v>128</v>
      </c>
      <c r="E63" s="302">
        <v>0</v>
      </c>
      <c r="F63" s="302">
        <v>0</v>
      </c>
      <c r="G63" s="302">
        <v>0</v>
      </c>
      <c r="H63" s="302"/>
      <c r="I63" s="302"/>
      <c r="J63" s="302"/>
      <c r="K63" s="302"/>
      <c r="L63" s="302"/>
      <c r="M63" s="302"/>
      <c r="N63" s="302"/>
      <c r="O63" s="302"/>
      <c r="P63" s="302"/>
      <c r="Q63" s="305"/>
      <c r="R63" s="90"/>
      <c r="S63" s="90"/>
      <c r="T63" s="90">
        <v>2200</v>
      </c>
      <c r="U63" s="90">
        <v>15000</v>
      </c>
      <c r="V63" s="90">
        <v>0</v>
      </c>
      <c r="W63" s="90">
        <v>0</v>
      </c>
      <c r="X63" s="21" t="s">
        <v>131</v>
      </c>
      <c r="Y63" s="90">
        <v>2200</v>
      </c>
      <c r="Z63" s="90">
        <v>3000</v>
      </c>
      <c r="AA63" s="498" t="s">
        <v>306</v>
      </c>
      <c r="AB63" s="90" t="s">
        <v>132</v>
      </c>
      <c r="AC63" s="90"/>
      <c r="AD63" s="90"/>
      <c r="AE63" s="90"/>
      <c r="AG63" s="174">
        <v>23</v>
      </c>
      <c r="AH63" s="174" t="str">
        <f>B53</f>
        <v>Nguyễn Văn Thiệu</v>
      </c>
      <c r="AI63" s="174" t="s">
        <v>289</v>
      </c>
      <c r="AJ63" s="302">
        <f t="shared" ref="AJ63:AU63" si="119">AJ31</f>
        <v>2764000</v>
      </c>
      <c r="AK63" s="302">
        <f t="shared" si="119"/>
        <v>2893000</v>
      </c>
      <c r="AL63" s="302">
        <f t="shared" si="119"/>
        <v>0</v>
      </c>
      <c r="AM63" s="302">
        <f t="shared" si="119"/>
        <v>0</v>
      </c>
      <c r="AN63" s="302">
        <f t="shared" si="119"/>
        <v>0</v>
      </c>
      <c r="AO63" s="302">
        <f t="shared" si="119"/>
        <v>0</v>
      </c>
      <c r="AP63" s="302">
        <f t="shared" si="119"/>
        <v>0</v>
      </c>
      <c r="AQ63" s="302">
        <f t="shared" si="119"/>
        <v>0</v>
      </c>
      <c r="AR63" s="302">
        <f t="shared" si="119"/>
        <v>0</v>
      </c>
      <c r="AS63" s="302">
        <f t="shared" si="119"/>
        <v>0</v>
      </c>
      <c r="AT63" s="302">
        <f t="shared" si="119"/>
        <v>0</v>
      </c>
      <c r="AU63" s="302">
        <f t="shared" si="119"/>
        <v>0</v>
      </c>
      <c r="AV63" s="341"/>
    </row>
    <row r="64" spans="1:211" ht="15.75" customHeight="1">
      <c r="A64" s="95">
        <v>56</v>
      </c>
      <c r="B64" s="935"/>
      <c r="C64" s="920"/>
      <c r="D64" s="662" t="s">
        <v>139</v>
      </c>
      <c r="E64" s="302">
        <v>1503</v>
      </c>
      <c r="F64" s="302">
        <v>1521</v>
      </c>
      <c r="G64" s="302">
        <v>1534</v>
      </c>
      <c r="H64" s="302"/>
      <c r="I64" s="302"/>
      <c r="J64" s="302"/>
      <c r="K64" s="302"/>
      <c r="L64" s="302"/>
      <c r="M64" s="302"/>
      <c r="N64" s="302"/>
      <c r="O64" s="302"/>
      <c r="P64" s="302"/>
      <c r="Q64" s="305"/>
      <c r="R64" s="90"/>
      <c r="S64" s="90"/>
      <c r="T64" s="90"/>
      <c r="U64" s="90"/>
      <c r="V64" s="90"/>
      <c r="W64" s="90"/>
      <c r="X64" s="21"/>
      <c r="Y64" s="90"/>
      <c r="Z64" s="90">
        <v>20000</v>
      </c>
      <c r="AA64" s="498" t="s">
        <v>306</v>
      </c>
      <c r="AB64" s="90" t="s">
        <v>132</v>
      </c>
      <c r="AC64" s="90"/>
      <c r="AD64" s="90"/>
      <c r="AE64" s="90"/>
      <c r="AG64" s="174">
        <v>24</v>
      </c>
      <c r="AH64" s="174" t="str">
        <f>B55</f>
        <v>Đoàn Văn Thanh</v>
      </c>
      <c r="AI64" s="174" t="s">
        <v>292</v>
      </c>
      <c r="AJ64" s="302">
        <f t="shared" ref="AJ64:AU64" si="120">AJ32</f>
        <v>2378000</v>
      </c>
      <c r="AK64" s="302">
        <f t="shared" si="120"/>
        <v>2345000</v>
      </c>
      <c r="AL64" s="302">
        <f t="shared" si="120"/>
        <v>0</v>
      </c>
      <c r="AM64" s="302">
        <f t="shared" si="120"/>
        <v>0</v>
      </c>
      <c r="AN64" s="302">
        <f t="shared" si="120"/>
        <v>0</v>
      </c>
      <c r="AO64" s="302">
        <f t="shared" si="120"/>
        <v>0</v>
      </c>
      <c r="AP64" s="302">
        <f t="shared" si="120"/>
        <v>0</v>
      </c>
      <c r="AQ64" s="302">
        <f t="shared" si="120"/>
        <v>0</v>
      </c>
      <c r="AR64" s="302">
        <f t="shared" si="120"/>
        <v>0</v>
      </c>
      <c r="AS64" s="302">
        <f t="shared" si="120"/>
        <v>0</v>
      </c>
      <c r="AT64" s="302">
        <f t="shared" si="120"/>
        <v>0</v>
      </c>
      <c r="AU64" s="302">
        <f t="shared" si="120"/>
        <v>0</v>
      </c>
      <c r="AV64" s="302"/>
    </row>
    <row r="65" spans="1:48" ht="15.75" customHeight="1">
      <c r="A65" s="78">
        <v>57</v>
      </c>
      <c r="B65" s="936" t="s">
        <v>709</v>
      </c>
      <c r="C65" s="921" t="s">
        <v>310</v>
      </c>
      <c r="D65" s="662" t="s">
        <v>128</v>
      </c>
      <c r="E65" s="302">
        <v>2692</v>
      </c>
      <c r="F65" s="302">
        <v>2884</v>
      </c>
      <c r="G65" s="302">
        <v>3080</v>
      </c>
      <c r="H65" s="302"/>
      <c r="I65" s="302"/>
      <c r="J65" s="302"/>
      <c r="K65" s="302"/>
      <c r="L65" s="302"/>
      <c r="M65" s="302"/>
      <c r="N65" s="302"/>
      <c r="O65" s="302"/>
      <c r="P65" s="302"/>
      <c r="Q65" s="305"/>
      <c r="R65" s="90"/>
      <c r="S65" s="90"/>
      <c r="T65" s="90">
        <v>1900</v>
      </c>
      <c r="U65" s="90">
        <v>15000</v>
      </c>
      <c r="V65" s="90">
        <v>20000</v>
      </c>
      <c r="W65" s="90">
        <v>0</v>
      </c>
      <c r="X65" s="21" t="s">
        <v>131</v>
      </c>
      <c r="Y65" s="90">
        <v>1000</v>
      </c>
      <c r="Z65" s="90">
        <v>3000</v>
      </c>
      <c r="AA65" s="498" t="s">
        <v>310</v>
      </c>
      <c r="AB65" s="90" t="s">
        <v>132</v>
      </c>
      <c r="AC65" s="90"/>
      <c r="AD65" s="90"/>
      <c r="AE65" s="90"/>
      <c r="AG65" s="174">
        <v>25</v>
      </c>
      <c r="AH65" s="174" t="str">
        <f>B57</f>
        <v>Dương Thị Yến</v>
      </c>
      <c r="AI65" s="174" t="s">
        <v>299</v>
      </c>
      <c r="AJ65" s="302">
        <f t="shared" ref="AJ65:AU65" si="121">AJ33</f>
        <v>2599000</v>
      </c>
      <c r="AK65" s="302">
        <f t="shared" si="121"/>
        <v>2492000</v>
      </c>
      <c r="AL65" s="302">
        <f t="shared" si="121"/>
        <v>0</v>
      </c>
      <c r="AM65" s="302">
        <f t="shared" si="121"/>
        <v>0</v>
      </c>
      <c r="AN65" s="302">
        <f t="shared" si="121"/>
        <v>0</v>
      </c>
      <c r="AO65" s="302">
        <f t="shared" si="121"/>
        <v>0</v>
      </c>
      <c r="AP65" s="302">
        <f t="shared" si="121"/>
        <v>0</v>
      </c>
      <c r="AQ65" s="302">
        <f t="shared" si="121"/>
        <v>0</v>
      </c>
      <c r="AR65" s="302">
        <f t="shared" si="121"/>
        <v>0</v>
      </c>
      <c r="AS65" s="302">
        <f t="shared" si="121"/>
        <v>0</v>
      </c>
      <c r="AT65" s="302">
        <f t="shared" si="121"/>
        <v>0</v>
      </c>
      <c r="AU65" s="302">
        <f t="shared" si="121"/>
        <v>0</v>
      </c>
      <c r="AV65" s="302"/>
    </row>
    <row r="66" spans="1:48" ht="15.75" customHeight="1" thickBot="1">
      <c r="A66" s="95">
        <v>58</v>
      </c>
      <c r="B66" s="938"/>
      <c r="C66" s="939"/>
      <c r="D66" s="667" t="s">
        <v>139</v>
      </c>
      <c r="E66" s="311">
        <v>1146</v>
      </c>
      <c r="F66" s="311">
        <v>1161</v>
      </c>
      <c r="G66" s="311">
        <v>1174</v>
      </c>
      <c r="H66" s="311"/>
      <c r="I66" s="311"/>
      <c r="J66" s="311"/>
      <c r="K66" s="311"/>
      <c r="L66" s="311"/>
      <c r="M66" s="311"/>
      <c r="N66" s="311"/>
      <c r="O66" s="311"/>
      <c r="P66" s="311"/>
      <c r="Q66" s="312"/>
      <c r="R66" s="90"/>
      <c r="S66" s="90"/>
      <c r="T66" s="90"/>
      <c r="U66" s="90"/>
      <c r="V66" s="90"/>
      <c r="W66" s="90"/>
      <c r="X66" s="21"/>
      <c r="Y66" s="90"/>
      <c r="Z66" s="90">
        <v>20000</v>
      </c>
      <c r="AA66" s="523" t="s">
        <v>310</v>
      </c>
      <c r="AB66" s="301" t="s">
        <v>132</v>
      </c>
      <c r="AC66" s="301"/>
      <c r="AD66" s="301"/>
      <c r="AE66" s="301"/>
      <c r="AG66" s="174">
        <v>26</v>
      </c>
      <c r="AH66" s="174" t="str">
        <f>B59</f>
        <v>Dương Thị Lệ Thu</v>
      </c>
      <c r="AI66" s="174" t="s">
        <v>301</v>
      </c>
      <c r="AJ66" s="302">
        <f t="shared" ref="AJ66:AU66" si="122">AJ34</f>
        <v>2810000</v>
      </c>
      <c r="AK66" s="302">
        <f t="shared" si="122"/>
        <v>2995000</v>
      </c>
      <c r="AL66" s="302">
        <f t="shared" si="122"/>
        <v>0</v>
      </c>
      <c r="AM66" s="302">
        <f t="shared" si="122"/>
        <v>0</v>
      </c>
      <c r="AN66" s="302">
        <f t="shared" si="122"/>
        <v>0</v>
      </c>
      <c r="AO66" s="302">
        <f t="shared" si="122"/>
        <v>0</v>
      </c>
      <c r="AP66" s="302">
        <f t="shared" si="122"/>
        <v>0</v>
      </c>
      <c r="AQ66" s="302">
        <f t="shared" si="122"/>
        <v>0</v>
      </c>
      <c r="AR66" s="302">
        <f t="shared" si="122"/>
        <v>0</v>
      </c>
      <c r="AS66" s="302">
        <f t="shared" si="122"/>
        <v>0</v>
      </c>
      <c r="AT66" s="302">
        <f t="shared" si="122"/>
        <v>0</v>
      </c>
      <c r="AU66" s="302">
        <f t="shared" si="122"/>
        <v>0</v>
      </c>
      <c r="AV66" s="302"/>
    </row>
    <row r="67" spans="1:48" ht="15.75" customHeight="1">
      <c r="A67" s="78"/>
      <c r="B67" s="588"/>
      <c r="C67" s="588"/>
      <c r="D67" s="293"/>
      <c r="E67" s="301"/>
      <c r="F67" s="301"/>
      <c r="G67" s="301"/>
      <c r="H67" s="301"/>
      <c r="I67" s="301"/>
      <c r="J67" s="301"/>
      <c r="K67" s="301"/>
      <c r="L67" s="301"/>
      <c r="M67" s="301"/>
      <c r="N67" s="301"/>
      <c r="O67" s="301"/>
      <c r="P67" s="301"/>
      <c r="Q67" s="301"/>
      <c r="R67" s="90"/>
      <c r="S67" s="90"/>
      <c r="T67" s="565">
        <f>SUM(T9:T66)</f>
        <v>57900</v>
      </c>
      <c r="U67" s="565">
        <f>SUM(U9:U66)</f>
        <v>375000</v>
      </c>
      <c r="V67" s="565">
        <f>SUM(V9:V66)</f>
        <v>210000</v>
      </c>
      <c r="AC67" s="585"/>
      <c r="AD67" s="585"/>
      <c r="AE67" s="585"/>
      <c r="AG67" s="174">
        <v>27</v>
      </c>
      <c r="AH67" s="174" t="str">
        <f>B61</f>
        <v>Ngô Ngọc Bảo Vi</v>
      </c>
      <c r="AI67" s="174" t="s">
        <v>303</v>
      </c>
      <c r="AJ67" s="302">
        <f t="shared" ref="AJ67:AU67" si="123">AJ35</f>
        <v>4015000</v>
      </c>
      <c r="AK67" s="302">
        <f t="shared" si="123"/>
        <v>4015000</v>
      </c>
      <c r="AL67" s="302">
        <f t="shared" si="123"/>
        <v>0</v>
      </c>
      <c r="AM67" s="302">
        <f t="shared" si="123"/>
        <v>0</v>
      </c>
      <c r="AN67" s="302">
        <f t="shared" si="123"/>
        <v>0</v>
      </c>
      <c r="AO67" s="302">
        <f t="shared" si="123"/>
        <v>0</v>
      </c>
      <c r="AP67" s="302">
        <f t="shared" si="123"/>
        <v>0</v>
      </c>
      <c r="AQ67" s="302">
        <f t="shared" si="123"/>
        <v>0</v>
      </c>
      <c r="AR67" s="302">
        <f t="shared" si="123"/>
        <v>0</v>
      </c>
      <c r="AS67" s="302">
        <f t="shared" si="123"/>
        <v>0</v>
      </c>
      <c r="AT67" s="302">
        <f t="shared" si="123"/>
        <v>0</v>
      </c>
      <c r="AU67" s="302">
        <f t="shared" si="123"/>
        <v>0</v>
      </c>
      <c r="AV67" s="341"/>
    </row>
    <row r="68" spans="1:48" ht="15.75" customHeight="1">
      <c r="A68" s="95"/>
      <c r="B68" s="588"/>
      <c r="C68" s="588"/>
      <c r="D68" s="293"/>
      <c r="E68" s="301"/>
      <c r="F68" s="301"/>
      <c r="G68" s="301"/>
      <c r="H68" s="301"/>
      <c r="I68" s="301"/>
      <c r="J68" s="301"/>
      <c r="K68" s="301"/>
      <c r="L68" s="301"/>
      <c r="M68" s="301"/>
      <c r="N68" s="301"/>
      <c r="O68" s="301"/>
      <c r="P68" s="301"/>
      <c r="Q68" s="301"/>
      <c r="R68" s="90"/>
      <c r="S68" s="90"/>
      <c r="AC68" s="585"/>
      <c r="AD68" s="585"/>
      <c r="AE68" s="585"/>
      <c r="AG68" s="174">
        <v>28</v>
      </c>
      <c r="AH68" s="174" t="str">
        <f>B63</f>
        <v>Đỗ Phương Thảo</v>
      </c>
      <c r="AI68" s="174" t="s">
        <v>306</v>
      </c>
      <c r="AJ68" s="302">
        <f t="shared" ref="AJ68:AU68" si="124">AJ36</f>
        <v>2575000</v>
      </c>
      <c r="AK68" s="302">
        <f t="shared" si="124"/>
        <v>2475000</v>
      </c>
      <c r="AL68" s="302">
        <f t="shared" si="124"/>
        <v>0</v>
      </c>
      <c r="AM68" s="302">
        <f t="shared" si="124"/>
        <v>0</v>
      </c>
      <c r="AN68" s="302">
        <f t="shared" si="124"/>
        <v>0</v>
      </c>
      <c r="AO68" s="302">
        <f t="shared" si="124"/>
        <v>0</v>
      </c>
      <c r="AP68" s="302">
        <f t="shared" si="124"/>
        <v>0</v>
      </c>
      <c r="AQ68" s="302">
        <f t="shared" si="124"/>
        <v>0</v>
      </c>
      <c r="AR68" s="302">
        <f t="shared" si="124"/>
        <v>0</v>
      </c>
      <c r="AS68" s="302">
        <f t="shared" si="124"/>
        <v>0</v>
      </c>
      <c r="AT68" s="302">
        <f t="shared" si="124"/>
        <v>0</v>
      </c>
      <c r="AU68" s="302">
        <f t="shared" si="124"/>
        <v>0</v>
      </c>
      <c r="AV68" s="302"/>
    </row>
    <row r="69" spans="1:48" ht="15.75" customHeight="1" thickBot="1">
      <c r="A69" s="78"/>
      <c r="B69" s="588"/>
      <c r="C69" s="588"/>
      <c r="D69" s="293"/>
      <c r="E69" s="301"/>
      <c r="F69" s="301"/>
      <c r="G69" s="301"/>
      <c r="H69" s="301"/>
      <c r="I69" s="301"/>
      <c r="J69" s="301"/>
      <c r="K69" s="301"/>
      <c r="L69" s="301"/>
      <c r="M69" s="301"/>
      <c r="N69" s="301"/>
      <c r="O69" s="301"/>
      <c r="P69" s="301"/>
      <c r="Q69" s="301"/>
      <c r="R69" s="90"/>
      <c r="S69" s="90"/>
      <c r="AC69" s="585"/>
      <c r="AD69" s="585"/>
      <c r="AE69" s="585"/>
      <c r="AG69" s="174">
        <v>29</v>
      </c>
      <c r="AH69" s="174" t="str">
        <f>B65</f>
        <v>Trần Thị Ngọc</v>
      </c>
      <c r="AI69" s="174" t="s">
        <v>310</v>
      </c>
      <c r="AJ69" s="302">
        <f t="shared" ref="AJ69:AU69" si="125">AJ37</f>
        <v>2711000</v>
      </c>
      <c r="AK69" s="302">
        <f t="shared" si="125"/>
        <v>2783000</v>
      </c>
      <c r="AL69" s="302">
        <f t="shared" si="125"/>
        <v>0</v>
      </c>
      <c r="AM69" s="302">
        <f t="shared" si="125"/>
        <v>0</v>
      </c>
      <c r="AN69" s="302">
        <f t="shared" si="125"/>
        <v>0</v>
      </c>
      <c r="AO69" s="302">
        <f t="shared" si="125"/>
        <v>0</v>
      </c>
      <c r="AP69" s="302">
        <f t="shared" si="125"/>
        <v>0</v>
      </c>
      <c r="AQ69" s="302">
        <f t="shared" si="125"/>
        <v>0</v>
      </c>
      <c r="AR69" s="302">
        <f t="shared" si="125"/>
        <v>0</v>
      </c>
      <c r="AS69" s="302">
        <f t="shared" si="125"/>
        <v>0</v>
      </c>
      <c r="AT69" s="302">
        <f t="shared" si="125"/>
        <v>0</v>
      </c>
      <c r="AU69" s="302">
        <f t="shared" si="125"/>
        <v>0</v>
      </c>
      <c r="AV69" s="313"/>
    </row>
    <row r="70" spans="1:48" ht="15.75" customHeight="1" thickBot="1">
      <c r="A70" s="95"/>
      <c r="B70" s="588"/>
      <c r="C70" s="588"/>
      <c r="D70" s="293"/>
      <c r="E70" s="301"/>
      <c r="F70" s="301"/>
      <c r="G70" s="301"/>
      <c r="H70" s="301"/>
      <c r="I70" s="301"/>
      <c r="J70" s="301"/>
      <c r="K70" s="301"/>
      <c r="L70" s="301"/>
      <c r="M70" s="301"/>
      <c r="N70" s="301"/>
      <c r="O70" s="301"/>
      <c r="P70" s="301"/>
      <c r="Q70" s="301"/>
      <c r="R70" s="90"/>
      <c r="S70" s="90"/>
      <c r="AC70" s="585"/>
      <c r="AD70" s="585"/>
      <c r="AE70" s="585"/>
      <c r="AG70" s="618" t="s">
        <v>311</v>
      </c>
      <c r="AH70" s="619"/>
      <c r="AI70" s="620"/>
      <c r="AJ70" s="589">
        <f t="shared" ref="AJ70:AV70" si="126">SUM(AJ41:AJ69)</f>
        <v>70901000</v>
      </c>
      <c r="AK70" s="590">
        <f t="shared" si="126"/>
        <v>71400000</v>
      </c>
      <c r="AL70" s="590">
        <f t="shared" si="126"/>
        <v>0</v>
      </c>
      <c r="AM70" s="590">
        <f t="shared" si="126"/>
        <v>0</v>
      </c>
      <c r="AN70" s="590">
        <f t="shared" si="126"/>
        <v>0</v>
      </c>
      <c r="AO70" s="591">
        <f t="shared" si="126"/>
        <v>0</v>
      </c>
      <c r="AP70" s="590">
        <f t="shared" si="126"/>
        <v>0</v>
      </c>
      <c r="AQ70" s="590">
        <f t="shared" si="126"/>
        <v>0</v>
      </c>
      <c r="AR70" s="590">
        <f t="shared" si="126"/>
        <v>0</v>
      </c>
      <c r="AS70" s="590">
        <f t="shared" si="126"/>
        <v>0</v>
      </c>
      <c r="AT70" s="590">
        <f t="shared" si="126"/>
        <v>0</v>
      </c>
      <c r="AU70" s="592">
        <f t="shared" si="126"/>
        <v>0</v>
      </c>
      <c r="AV70" s="590">
        <f t="shared" si="126"/>
        <v>0</v>
      </c>
    </row>
    <row r="71" spans="1:48" ht="15.75" customHeight="1">
      <c r="A71" s="95"/>
      <c r="B71" s="588"/>
      <c r="C71" s="588"/>
      <c r="D71" s="293"/>
      <c r="E71" s="301"/>
      <c r="F71" s="301"/>
      <c r="G71" s="301"/>
      <c r="H71" s="301"/>
      <c r="I71" s="301"/>
      <c r="J71" s="301"/>
      <c r="K71" s="301"/>
      <c r="L71" s="301"/>
      <c r="M71" s="301"/>
      <c r="N71" s="301"/>
      <c r="O71" s="301"/>
      <c r="P71" s="301"/>
      <c r="Q71" s="301"/>
      <c r="R71" s="90"/>
      <c r="S71" s="90"/>
      <c r="T71" s="608"/>
      <c r="AC71" s="585"/>
      <c r="AD71" s="585"/>
      <c r="AE71" s="585"/>
      <c r="AG71" s="586"/>
      <c r="AH71" s="929" t="s">
        <v>313</v>
      </c>
      <c r="AI71" s="345" t="s">
        <v>128</v>
      </c>
      <c r="AJ71" s="593">
        <f>Meter!E129</f>
        <v>8035736</v>
      </c>
      <c r="AK71" s="593">
        <f>Meter!F129</f>
        <v>7618905</v>
      </c>
      <c r="AL71" s="593">
        <f>Meter!G129</f>
        <v>0</v>
      </c>
      <c r="AM71" s="593">
        <f>Meter!H129</f>
        <v>0</v>
      </c>
      <c r="AN71" s="593">
        <f>Meter!I129</f>
        <v>0</v>
      </c>
      <c r="AO71" s="593">
        <f>Meter!J129</f>
        <v>0</v>
      </c>
      <c r="AP71" s="593">
        <f>Meter!K129</f>
        <v>0</v>
      </c>
      <c r="AQ71" s="593">
        <f>Meter!L129</f>
        <v>0</v>
      </c>
      <c r="AR71" s="593">
        <f>Meter!M129</f>
        <v>0</v>
      </c>
      <c r="AS71" s="593">
        <f>Meter!N129</f>
        <v>0</v>
      </c>
      <c r="AT71" s="593">
        <f>Meter!O129</f>
        <v>0</v>
      </c>
      <c r="AU71" s="593">
        <f>Meter!P129</f>
        <v>0</v>
      </c>
      <c r="AV71" s="593"/>
    </row>
    <row r="72" spans="1:48" ht="15.75" customHeight="1" thickBot="1">
      <c r="A72" s="95"/>
      <c r="B72" s="588"/>
      <c r="C72" s="588"/>
      <c r="D72" s="293"/>
      <c r="E72" s="301"/>
      <c r="F72" s="301"/>
      <c r="G72" s="301"/>
      <c r="H72" s="301"/>
      <c r="I72" s="301"/>
      <c r="J72" s="301"/>
      <c r="K72" s="301"/>
      <c r="L72" s="301"/>
      <c r="M72" s="301"/>
      <c r="N72" s="301"/>
      <c r="O72" s="301"/>
      <c r="P72" s="301"/>
      <c r="Q72" s="301"/>
      <c r="R72" s="90"/>
      <c r="S72" s="90"/>
      <c r="AC72" s="585"/>
      <c r="AD72" s="585"/>
      <c r="AE72" s="585"/>
      <c r="AG72" s="91"/>
      <c r="AH72" s="930"/>
      <c r="AI72" s="8" t="s">
        <v>139</v>
      </c>
      <c r="AJ72" s="593">
        <f>Meter!E130</f>
        <v>3892185</v>
      </c>
      <c r="AK72" s="593">
        <f>Meter!F130</f>
        <v>3589840</v>
      </c>
      <c r="AL72" s="593">
        <f>Meter!G130</f>
        <v>0</v>
      </c>
      <c r="AM72" s="593">
        <f>Meter!H130</f>
        <v>0</v>
      </c>
      <c r="AN72" s="593">
        <f>Meter!I130</f>
        <v>0</v>
      </c>
      <c r="AO72" s="593">
        <f>Meter!J130</f>
        <v>0</v>
      </c>
      <c r="AP72" s="593">
        <f>Meter!K130</f>
        <v>0</v>
      </c>
      <c r="AQ72" s="593">
        <f>Meter!L130</f>
        <v>0</v>
      </c>
      <c r="AR72" s="593">
        <f>Meter!M130</f>
        <v>0</v>
      </c>
      <c r="AS72" s="593">
        <f>Meter!N130</f>
        <v>0</v>
      </c>
      <c r="AT72" s="593">
        <f>Meter!O130</f>
        <v>0</v>
      </c>
      <c r="AU72" s="593">
        <f>Meter!P130</f>
        <v>0</v>
      </c>
      <c r="AV72" s="593"/>
    </row>
    <row r="73" spans="1:48" ht="15.75" customHeight="1" thickBot="1">
      <c r="A73" s="95"/>
      <c r="B73" s="588"/>
      <c r="C73" s="588"/>
      <c r="D73" s="293"/>
      <c r="E73" s="301"/>
      <c r="F73" s="301"/>
      <c r="G73" s="301"/>
      <c r="H73" s="301"/>
      <c r="I73" s="301"/>
      <c r="J73" s="301"/>
      <c r="K73" s="301"/>
      <c r="L73" s="301"/>
      <c r="M73" s="301"/>
      <c r="N73" s="301"/>
      <c r="O73" s="301"/>
      <c r="P73" s="301"/>
      <c r="Q73" s="301"/>
      <c r="R73" s="90"/>
      <c r="S73" s="90"/>
      <c r="AC73" s="585"/>
      <c r="AD73" s="585"/>
      <c r="AE73" s="585"/>
      <c r="AG73" s="91"/>
      <c r="AH73" s="931" t="s">
        <v>859</v>
      </c>
      <c r="AI73" s="895"/>
      <c r="AJ73" s="594">
        <f>SUM(AJ71:AJ72)</f>
        <v>11927921</v>
      </c>
      <c r="AK73" s="594">
        <f t="shared" ref="AK73:AU73" si="127">SUM(AK71:AK72)</f>
        <v>11208745</v>
      </c>
      <c r="AL73" s="594">
        <f t="shared" si="127"/>
        <v>0</v>
      </c>
      <c r="AM73" s="594">
        <f t="shared" si="127"/>
        <v>0</v>
      </c>
      <c r="AN73" s="594">
        <f t="shared" si="127"/>
        <v>0</v>
      </c>
      <c r="AO73" s="594">
        <f t="shared" si="127"/>
        <v>0</v>
      </c>
      <c r="AP73" s="594">
        <f t="shared" si="127"/>
        <v>0</v>
      </c>
      <c r="AQ73" s="594">
        <f t="shared" si="127"/>
        <v>0</v>
      </c>
      <c r="AR73" s="594">
        <f t="shared" si="127"/>
        <v>0</v>
      </c>
      <c r="AS73" s="594">
        <f t="shared" si="127"/>
        <v>0</v>
      </c>
      <c r="AT73" s="594">
        <f t="shared" si="127"/>
        <v>0</v>
      </c>
      <c r="AU73" s="594">
        <f t="shared" si="127"/>
        <v>0</v>
      </c>
      <c r="AV73" s="594"/>
    </row>
    <row r="74" spans="1:48" ht="15.75" customHeight="1" thickBot="1">
      <c r="A74" s="609" t="s">
        <v>3</v>
      </c>
      <c r="B74" s="610" t="s">
        <v>5</v>
      </c>
      <c r="C74" s="610"/>
      <c r="D74" s="612"/>
      <c r="E74" s="614" t="s">
        <v>889</v>
      </c>
      <c r="F74" s="613" t="s">
        <v>90</v>
      </c>
      <c r="G74" s="556" t="s">
        <v>91</v>
      </c>
      <c r="H74" s="556" t="s">
        <v>92</v>
      </c>
      <c r="I74" s="556" t="s">
        <v>93</v>
      </c>
      <c r="J74" s="556" t="s">
        <v>94</v>
      </c>
      <c r="K74" s="556" t="s">
        <v>95</v>
      </c>
      <c r="L74" s="556" t="s">
        <v>96</v>
      </c>
      <c r="M74" s="556" t="s">
        <v>97</v>
      </c>
      <c r="N74" s="556" t="s">
        <v>98</v>
      </c>
      <c r="O74" s="556" t="s">
        <v>99</v>
      </c>
      <c r="P74" s="556" t="s">
        <v>100</v>
      </c>
      <c r="Q74" s="611" t="s">
        <v>101</v>
      </c>
      <c r="AC74" s="585"/>
      <c r="AD74" s="585"/>
      <c r="AE74" s="585"/>
    </row>
    <row r="75" spans="1:48" ht="15.75" customHeight="1">
      <c r="A75" s="615">
        <v>1</v>
      </c>
      <c r="B75" s="545" t="s">
        <v>916</v>
      </c>
      <c r="C75" s="546"/>
      <c r="D75" s="748"/>
      <c r="E75" s="752"/>
      <c r="F75" s="546">
        <f t="shared" ref="F75:Q75" si="128">FY38</f>
        <v>8826000</v>
      </c>
      <c r="G75" s="520">
        <f t="shared" si="128"/>
        <v>7485000</v>
      </c>
      <c r="H75" s="520">
        <f t="shared" si="128"/>
        <v>0</v>
      </c>
      <c r="I75" s="520">
        <f t="shared" si="128"/>
        <v>0</v>
      </c>
      <c r="J75" s="520">
        <f t="shared" si="128"/>
        <v>0</v>
      </c>
      <c r="K75" s="520">
        <f t="shared" si="128"/>
        <v>0</v>
      </c>
      <c r="L75" s="520">
        <f t="shared" si="128"/>
        <v>0</v>
      </c>
      <c r="M75" s="520">
        <f t="shared" si="128"/>
        <v>0</v>
      </c>
      <c r="N75" s="520">
        <f t="shared" si="128"/>
        <v>0</v>
      </c>
      <c r="O75" s="520">
        <f t="shared" si="128"/>
        <v>0</v>
      </c>
      <c r="P75" s="520">
        <f t="shared" si="128"/>
        <v>0</v>
      </c>
      <c r="Q75" s="547">
        <f t="shared" si="128"/>
        <v>0</v>
      </c>
      <c r="AC75" s="585"/>
      <c r="AD75" s="585"/>
      <c r="AE75" s="585"/>
    </row>
    <row r="76" spans="1:48" ht="15.75" customHeight="1">
      <c r="A76" s="616">
        <v>2</v>
      </c>
      <c r="B76" s="548" t="s">
        <v>917</v>
      </c>
      <c r="C76" s="549"/>
      <c r="D76" s="749"/>
      <c r="E76" s="753"/>
      <c r="F76" s="549">
        <f t="shared" ref="F76:Q76" si="129">GL38</f>
        <v>5490000</v>
      </c>
      <c r="G76" s="497">
        <f t="shared" si="129"/>
        <v>5430000</v>
      </c>
      <c r="H76" s="497">
        <f t="shared" si="129"/>
        <v>0</v>
      </c>
      <c r="I76" s="497">
        <f t="shared" si="129"/>
        <v>0</v>
      </c>
      <c r="J76" s="497">
        <f t="shared" si="129"/>
        <v>0</v>
      </c>
      <c r="K76" s="497">
        <f t="shared" si="129"/>
        <v>0</v>
      </c>
      <c r="L76" s="497">
        <f t="shared" si="129"/>
        <v>0</v>
      </c>
      <c r="M76" s="497">
        <f t="shared" si="129"/>
        <v>0</v>
      </c>
      <c r="N76" s="497">
        <f t="shared" si="129"/>
        <v>0</v>
      </c>
      <c r="O76" s="497">
        <f t="shared" si="129"/>
        <v>0</v>
      </c>
      <c r="P76" s="497">
        <f t="shared" si="129"/>
        <v>0</v>
      </c>
      <c r="Q76" s="536">
        <f t="shared" si="129"/>
        <v>0</v>
      </c>
    </row>
    <row r="77" spans="1:48" ht="15.75" customHeight="1">
      <c r="A77" s="616">
        <v>3</v>
      </c>
      <c r="B77" s="548" t="s">
        <v>918</v>
      </c>
      <c r="C77" s="549"/>
      <c r="D77" s="749"/>
      <c r="E77" s="753"/>
      <c r="F77" s="549">
        <f t="shared" ref="F77:Q77" si="130">DY38</f>
        <v>375000</v>
      </c>
      <c r="G77" s="497">
        <f t="shared" si="130"/>
        <v>375000</v>
      </c>
      <c r="H77" s="497">
        <f t="shared" si="130"/>
        <v>375000</v>
      </c>
      <c r="I77" s="497">
        <f t="shared" si="130"/>
        <v>375000</v>
      </c>
      <c r="J77" s="497">
        <f t="shared" si="130"/>
        <v>375000</v>
      </c>
      <c r="K77" s="497">
        <f t="shared" si="130"/>
        <v>375000</v>
      </c>
      <c r="L77" s="497">
        <f t="shared" si="130"/>
        <v>375000</v>
      </c>
      <c r="M77" s="497">
        <f t="shared" si="130"/>
        <v>375000</v>
      </c>
      <c r="N77" s="497">
        <f t="shared" si="130"/>
        <v>375000</v>
      </c>
      <c r="O77" s="497">
        <f t="shared" si="130"/>
        <v>375000</v>
      </c>
      <c r="P77" s="497">
        <f t="shared" si="130"/>
        <v>375000</v>
      </c>
      <c r="Q77" s="536">
        <f t="shared" si="130"/>
        <v>375000</v>
      </c>
    </row>
    <row r="78" spans="1:48" ht="15.75" customHeight="1">
      <c r="A78" s="616">
        <v>4</v>
      </c>
      <c r="B78" s="548" t="s">
        <v>919</v>
      </c>
      <c r="C78" s="549"/>
      <c r="D78" s="749"/>
      <c r="E78" s="753"/>
      <c r="F78" s="549">
        <f t="shared" ref="F78:Q78" si="131">EL38</f>
        <v>210000</v>
      </c>
      <c r="G78" s="497">
        <f t="shared" si="131"/>
        <v>210000</v>
      </c>
      <c r="H78" s="497">
        <f t="shared" si="131"/>
        <v>210000</v>
      </c>
      <c r="I78" s="497">
        <f t="shared" si="131"/>
        <v>210000</v>
      </c>
      <c r="J78" s="497">
        <f t="shared" si="131"/>
        <v>210000</v>
      </c>
      <c r="K78" s="497">
        <f t="shared" si="131"/>
        <v>210000</v>
      </c>
      <c r="L78" s="497">
        <f t="shared" si="131"/>
        <v>210000</v>
      </c>
      <c r="M78" s="497">
        <f t="shared" si="131"/>
        <v>210000</v>
      </c>
      <c r="N78" s="497">
        <f t="shared" si="131"/>
        <v>210000</v>
      </c>
      <c r="O78" s="497">
        <f t="shared" si="131"/>
        <v>210000</v>
      </c>
      <c r="P78" s="497">
        <f t="shared" si="131"/>
        <v>210000</v>
      </c>
      <c r="Q78" s="536">
        <f t="shared" si="131"/>
        <v>210000</v>
      </c>
    </row>
    <row r="79" spans="1:48" ht="15.75" customHeight="1">
      <c r="A79" s="616">
        <v>5</v>
      </c>
      <c r="B79" s="548" t="s">
        <v>920</v>
      </c>
      <c r="C79" s="549"/>
      <c r="D79" s="749"/>
      <c r="E79" s="753"/>
      <c r="F79" s="549">
        <f t="shared" ref="F79:Q79" si="132">EY38</f>
        <v>0</v>
      </c>
      <c r="G79" s="497">
        <f t="shared" si="132"/>
        <v>0</v>
      </c>
      <c r="H79" s="497">
        <f t="shared" si="132"/>
        <v>0</v>
      </c>
      <c r="I79" s="497">
        <f t="shared" si="132"/>
        <v>0</v>
      </c>
      <c r="J79" s="497">
        <f t="shared" si="132"/>
        <v>0</v>
      </c>
      <c r="K79" s="497">
        <f t="shared" si="132"/>
        <v>0</v>
      </c>
      <c r="L79" s="497">
        <f t="shared" si="132"/>
        <v>0</v>
      </c>
      <c r="M79" s="497">
        <f t="shared" si="132"/>
        <v>0</v>
      </c>
      <c r="N79" s="497">
        <f t="shared" si="132"/>
        <v>0</v>
      </c>
      <c r="O79" s="497">
        <f t="shared" si="132"/>
        <v>0</v>
      </c>
      <c r="P79" s="497">
        <f t="shared" si="132"/>
        <v>0</v>
      </c>
      <c r="Q79" s="536">
        <f t="shared" si="132"/>
        <v>0</v>
      </c>
    </row>
    <row r="80" spans="1:48" ht="15.75" customHeight="1">
      <c r="A80" s="616">
        <v>6</v>
      </c>
      <c r="B80" s="548" t="s">
        <v>921</v>
      </c>
      <c r="C80" s="549"/>
      <c r="D80" s="749"/>
      <c r="E80" s="753"/>
      <c r="F80" s="549">
        <f t="shared" ref="F80:Q80" si="133">FL38</f>
        <v>56000000</v>
      </c>
      <c r="G80" s="497">
        <f t="shared" si="133"/>
        <v>57900000</v>
      </c>
      <c r="H80" s="497">
        <f t="shared" si="133"/>
        <v>57900000</v>
      </c>
      <c r="I80" s="497">
        <f t="shared" si="133"/>
        <v>0</v>
      </c>
      <c r="J80" s="497">
        <f t="shared" si="133"/>
        <v>0</v>
      </c>
      <c r="K80" s="497">
        <f t="shared" si="133"/>
        <v>0</v>
      </c>
      <c r="L80" s="497">
        <f t="shared" si="133"/>
        <v>0</v>
      </c>
      <c r="M80" s="497">
        <f t="shared" si="133"/>
        <v>0</v>
      </c>
      <c r="N80" s="497">
        <f t="shared" si="133"/>
        <v>0</v>
      </c>
      <c r="O80" s="497">
        <f t="shared" si="133"/>
        <v>0</v>
      </c>
      <c r="P80" s="497">
        <f t="shared" si="133"/>
        <v>0</v>
      </c>
      <c r="Q80" s="536">
        <f t="shared" si="133"/>
        <v>0</v>
      </c>
      <c r="AO80" s="585"/>
    </row>
    <row r="81" spans="1:17" ht="15.75" customHeight="1">
      <c r="A81" s="616">
        <v>7</v>
      </c>
      <c r="B81" s="548" t="s">
        <v>922</v>
      </c>
      <c r="C81" s="549"/>
      <c r="D81" s="749"/>
      <c r="E81" s="753"/>
      <c r="F81" s="549">
        <f>SUM(F75:F80)</f>
        <v>70901000</v>
      </c>
      <c r="G81" s="497">
        <f t="shared" ref="G81:Q81" si="134">SUM(G75:G80)</f>
        <v>71400000</v>
      </c>
      <c r="H81" s="497">
        <f t="shared" si="134"/>
        <v>58485000</v>
      </c>
      <c r="I81" s="497">
        <f t="shared" si="134"/>
        <v>585000</v>
      </c>
      <c r="J81" s="497">
        <f t="shared" si="134"/>
        <v>585000</v>
      </c>
      <c r="K81" s="497">
        <f t="shared" si="134"/>
        <v>585000</v>
      </c>
      <c r="L81" s="497">
        <f t="shared" si="134"/>
        <v>585000</v>
      </c>
      <c r="M81" s="497">
        <f t="shared" si="134"/>
        <v>585000</v>
      </c>
      <c r="N81" s="497">
        <f t="shared" si="134"/>
        <v>585000</v>
      </c>
      <c r="O81" s="497">
        <f t="shared" si="134"/>
        <v>585000</v>
      </c>
      <c r="P81" s="497">
        <f t="shared" si="134"/>
        <v>585000</v>
      </c>
      <c r="Q81" s="536">
        <f t="shared" si="134"/>
        <v>585000</v>
      </c>
    </row>
    <row r="82" spans="1:17" ht="15.75" customHeight="1" thickBot="1">
      <c r="A82" s="617">
        <v>8</v>
      </c>
      <c r="B82" s="550" t="s">
        <v>894</v>
      </c>
      <c r="C82" s="551"/>
      <c r="D82" s="750"/>
      <c r="E82" s="754"/>
      <c r="F82" s="751">
        <f t="shared" ref="F82:Q82" si="135">F81-AJ38</f>
        <v>0</v>
      </c>
      <c r="G82" s="552">
        <f t="shared" si="135"/>
        <v>0</v>
      </c>
      <c r="H82" s="552">
        <f t="shared" si="135"/>
        <v>58485000</v>
      </c>
      <c r="I82" s="552">
        <f t="shared" si="135"/>
        <v>585000</v>
      </c>
      <c r="J82" s="552">
        <f t="shared" si="135"/>
        <v>585000</v>
      </c>
      <c r="K82" s="552">
        <f t="shared" si="135"/>
        <v>585000</v>
      </c>
      <c r="L82" s="552">
        <f t="shared" si="135"/>
        <v>585000</v>
      </c>
      <c r="M82" s="552">
        <f t="shared" si="135"/>
        <v>585000</v>
      </c>
      <c r="N82" s="552">
        <f t="shared" si="135"/>
        <v>585000</v>
      </c>
      <c r="O82" s="552">
        <f t="shared" si="135"/>
        <v>585000</v>
      </c>
      <c r="P82" s="552">
        <f t="shared" si="135"/>
        <v>585000</v>
      </c>
      <c r="Q82" s="553">
        <f t="shared" si="135"/>
        <v>585000</v>
      </c>
    </row>
    <row r="83" spans="1:17" ht="15.75" customHeight="1" thickBot="1">
      <c r="A83" s="521"/>
      <c r="B83" s="554"/>
      <c r="C83" s="521"/>
      <c r="D83" s="554"/>
      <c r="E83" s="521"/>
      <c r="F83" s="555"/>
      <c r="G83" s="555"/>
      <c r="H83" s="555"/>
      <c r="I83" s="555"/>
      <c r="J83" s="555"/>
      <c r="K83" s="555"/>
      <c r="L83" s="555"/>
      <c r="M83" s="555"/>
      <c r="N83" s="555"/>
      <c r="O83" s="555"/>
      <c r="P83" s="555"/>
      <c r="Q83" s="555"/>
    </row>
    <row r="84" spans="1:17" ht="15.75" customHeight="1" thickBot="1">
      <c r="A84" s="690" t="s">
        <v>3</v>
      </c>
      <c r="B84" s="691" t="s">
        <v>5</v>
      </c>
      <c r="C84" s="691"/>
      <c r="D84" s="692"/>
      <c r="E84" s="693" t="s">
        <v>889</v>
      </c>
      <c r="F84" s="694" t="s">
        <v>90</v>
      </c>
      <c r="G84" s="695" t="s">
        <v>91</v>
      </c>
      <c r="H84" s="695" t="s">
        <v>92</v>
      </c>
      <c r="I84" s="695" t="s">
        <v>93</v>
      </c>
      <c r="J84" s="695" t="s">
        <v>94</v>
      </c>
      <c r="K84" s="695" t="s">
        <v>95</v>
      </c>
      <c r="L84" s="695" t="s">
        <v>96</v>
      </c>
      <c r="M84" s="695" t="s">
        <v>97</v>
      </c>
      <c r="N84" s="695" t="s">
        <v>98</v>
      </c>
      <c r="O84" s="695" t="s">
        <v>99</v>
      </c>
      <c r="P84" s="695" t="s">
        <v>100</v>
      </c>
      <c r="Q84" s="696" t="s">
        <v>101</v>
      </c>
    </row>
    <row r="85" spans="1:17" ht="15.75" customHeight="1">
      <c r="A85" s="697">
        <v>1</v>
      </c>
      <c r="B85" s="698" t="s">
        <v>877</v>
      </c>
      <c r="C85" s="698" t="s">
        <v>939</v>
      </c>
      <c r="D85" s="699"/>
      <c r="E85" s="700">
        <f>SUM(F85:Q85)</f>
        <v>142301000</v>
      </c>
      <c r="F85" s="701">
        <f>AJ70</f>
        <v>70901000</v>
      </c>
      <c r="G85" s="701">
        <f t="shared" ref="G85:Q85" si="136">AK70</f>
        <v>71400000</v>
      </c>
      <c r="H85" s="701">
        <f t="shared" si="136"/>
        <v>0</v>
      </c>
      <c r="I85" s="701">
        <f t="shared" si="136"/>
        <v>0</v>
      </c>
      <c r="J85" s="701">
        <f t="shared" si="136"/>
        <v>0</v>
      </c>
      <c r="K85" s="701">
        <f t="shared" si="136"/>
        <v>0</v>
      </c>
      <c r="L85" s="701">
        <f t="shared" si="136"/>
        <v>0</v>
      </c>
      <c r="M85" s="701">
        <f t="shared" si="136"/>
        <v>0</v>
      </c>
      <c r="N85" s="701">
        <f t="shared" si="136"/>
        <v>0</v>
      </c>
      <c r="O85" s="701">
        <f t="shared" si="136"/>
        <v>0</v>
      </c>
      <c r="P85" s="701">
        <f t="shared" si="136"/>
        <v>0</v>
      </c>
      <c r="Q85" s="741">
        <f t="shared" si="136"/>
        <v>0</v>
      </c>
    </row>
    <row r="86" spans="1:17" ht="15.75" customHeight="1" thickBot="1">
      <c r="A86" s="718">
        <v>2</v>
      </c>
      <c r="B86" s="719" t="s">
        <v>878</v>
      </c>
      <c r="C86" s="719" t="s">
        <v>939</v>
      </c>
      <c r="D86" s="720"/>
      <c r="E86" s="721">
        <f>SUM(F86:Q86)/12</f>
        <v>29</v>
      </c>
      <c r="F86" s="725">
        <v>29</v>
      </c>
      <c r="G86" s="726">
        <v>29</v>
      </c>
      <c r="H86" s="726">
        <v>29</v>
      </c>
      <c r="I86" s="726">
        <v>29</v>
      </c>
      <c r="J86" s="726">
        <v>29</v>
      </c>
      <c r="K86" s="726">
        <v>29</v>
      </c>
      <c r="L86" s="726">
        <v>29</v>
      </c>
      <c r="M86" s="726">
        <v>29</v>
      </c>
      <c r="N86" s="726">
        <v>29</v>
      </c>
      <c r="O86" s="726">
        <v>29</v>
      </c>
      <c r="P86" s="726">
        <v>29</v>
      </c>
      <c r="Q86" s="727">
        <v>29</v>
      </c>
    </row>
    <row r="87" spans="1:17" ht="15.75" customHeight="1">
      <c r="A87" s="697">
        <v>3</v>
      </c>
      <c r="B87" s="698" t="s">
        <v>879</v>
      </c>
      <c r="C87" s="698" t="s">
        <v>940</v>
      </c>
      <c r="D87" s="699"/>
      <c r="E87" s="700">
        <f>SUM(F87:Q87)</f>
        <v>15654641</v>
      </c>
      <c r="F87" s="722">
        <f>AJ71</f>
        <v>8035736</v>
      </c>
      <c r="G87" s="730">
        <f t="shared" ref="G87:Q87" si="137">AK71</f>
        <v>7618905</v>
      </c>
      <c r="H87" s="730">
        <f t="shared" si="137"/>
        <v>0</v>
      </c>
      <c r="I87" s="730">
        <f t="shared" si="137"/>
        <v>0</v>
      </c>
      <c r="J87" s="730">
        <f t="shared" si="137"/>
        <v>0</v>
      </c>
      <c r="K87" s="730">
        <f t="shared" si="137"/>
        <v>0</v>
      </c>
      <c r="L87" s="730">
        <f t="shared" si="137"/>
        <v>0</v>
      </c>
      <c r="M87" s="730">
        <f t="shared" si="137"/>
        <v>0</v>
      </c>
      <c r="N87" s="730">
        <f t="shared" si="137"/>
        <v>0</v>
      </c>
      <c r="O87" s="730">
        <f t="shared" si="137"/>
        <v>0</v>
      </c>
      <c r="P87" s="730">
        <f t="shared" si="137"/>
        <v>0</v>
      </c>
      <c r="Q87" s="731">
        <f t="shared" si="137"/>
        <v>0</v>
      </c>
    </row>
    <row r="88" spans="1:17" ht="15.75" customHeight="1">
      <c r="A88" s="714">
        <v>4</v>
      </c>
      <c r="B88" s="715" t="s">
        <v>880</v>
      </c>
      <c r="C88" s="715" t="s">
        <v>940</v>
      </c>
      <c r="D88" s="716"/>
      <c r="E88" s="717">
        <f>SUM(F88:Q88)</f>
        <v>10062</v>
      </c>
      <c r="F88" s="723">
        <f>Meter!E133</f>
        <v>4165</v>
      </c>
      <c r="G88" s="728">
        <f>Meter!F133</f>
        <v>4017</v>
      </c>
      <c r="H88" s="728">
        <f>Meter!G133</f>
        <v>1880</v>
      </c>
      <c r="I88" s="728">
        <f>Meter!H133</f>
        <v>0</v>
      </c>
      <c r="J88" s="728">
        <f>Meter!I133</f>
        <v>0</v>
      </c>
      <c r="K88" s="728">
        <f>Meter!J133</f>
        <v>0</v>
      </c>
      <c r="L88" s="728">
        <f>Meter!K133</f>
        <v>0</v>
      </c>
      <c r="M88" s="728">
        <f>Meter!L133</f>
        <v>0</v>
      </c>
      <c r="N88" s="728">
        <f>Meter!M133</f>
        <v>0</v>
      </c>
      <c r="O88" s="728">
        <f>Meter!N133</f>
        <v>0</v>
      </c>
      <c r="P88" s="728">
        <f>Meter!O133</f>
        <v>0</v>
      </c>
      <c r="Q88" s="732">
        <f>Meter!P133</f>
        <v>0</v>
      </c>
    </row>
    <row r="89" spans="1:17" ht="15.75" customHeight="1" thickBot="1">
      <c r="A89" s="702">
        <v>5</v>
      </c>
      <c r="B89" s="703" t="s">
        <v>881</v>
      </c>
      <c r="C89" s="703" t="s">
        <v>940</v>
      </c>
      <c r="D89" s="704"/>
      <c r="E89" s="705">
        <f>IF(E87&gt;0,E87/E88,0)</f>
        <v>1555.818028225005</v>
      </c>
      <c r="F89" s="706">
        <f>IF(F87&gt;0,F87/F88,0)</f>
        <v>1929.3483793517407</v>
      </c>
      <c r="G89" s="707">
        <f t="shared" ref="G89:Q89" si="138">IF(G87&gt;0,G87/G88,0)</f>
        <v>1896.665421956684</v>
      </c>
      <c r="H89" s="707">
        <f t="shared" si="138"/>
        <v>0</v>
      </c>
      <c r="I89" s="707">
        <f t="shared" si="138"/>
        <v>0</v>
      </c>
      <c r="J89" s="707">
        <f t="shared" si="138"/>
        <v>0</v>
      </c>
      <c r="K89" s="707">
        <f t="shared" si="138"/>
        <v>0</v>
      </c>
      <c r="L89" s="707">
        <f t="shared" si="138"/>
        <v>0</v>
      </c>
      <c r="M89" s="707">
        <f t="shared" si="138"/>
        <v>0</v>
      </c>
      <c r="N89" s="707">
        <f t="shared" si="138"/>
        <v>0</v>
      </c>
      <c r="O89" s="707">
        <f t="shared" si="138"/>
        <v>0</v>
      </c>
      <c r="P89" s="707">
        <f t="shared" si="138"/>
        <v>0</v>
      </c>
      <c r="Q89" s="708">
        <f t="shared" si="138"/>
        <v>0</v>
      </c>
    </row>
    <row r="90" spans="1:17" ht="15.75" customHeight="1">
      <c r="A90" s="709">
        <v>6</v>
      </c>
      <c r="B90" s="710" t="s">
        <v>885</v>
      </c>
      <c r="C90" s="710" t="s">
        <v>941</v>
      </c>
      <c r="D90" s="711"/>
      <c r="E90" s="712">
        <f>SUM(F90:Q90)</f>
        <v>16311000</v>
      </c>
      <c r="F90" s="713">
        <f>F75</f>
        <v>8826000</v>
      </c>
      <c r="G90" s="729">
        <f t="shared" ref="G90:Q90" si="139">G75</f>
        <v>7485000</v>
      </c>
      <c r="H90" s="729">
        <f t="shared" si="139"/>
        <v>0</v>
      </c>
      <c r="I90" s="729">
        <f t="shared" si="139"/>
        <v>0</v>
      </c>
      <c r="J90" s="729">
        <f t="shared" si="139"/>
        <v>0</v>
      </c>
      <c r="K90" s="729">
        <f t="shared" si="139"/>
        <v>0</v>
      </c>
      <c r="L90" s="729">
        <f t="shared" si="139"/>
        <v>0</v>
      </c>
      <c r="M90" s="729">
        <f t="shared" si="139"/>
        <v>0</v>
      </c>
      <c r="N90" s="729">
        <f t="shared" si="139"/>
        <v>0</v>
      </c>
      <c r="O90" s="729">
        <f t="shared" si="139"/>
        <v>0</v>
      </c>
      <c r="P90" s="729">
        <f t="shared" si="139"/>
        <v>0</v>
      </c>
      <c r="Q90" s="742">
        <f t="shared" si="139"/>
        <v>0</v>
      </c>
    </row>
    <row r="91" spans="1:17" ht="15.75" customHeight="1">
      <c r="A91" s="714">
        <v>7</v>
      </c>
      <c r="B91" s="715" t="s">
        <v>880</v>
      </c>
      <c r="C91" s="715" t="s">
        <v>941</v>
      </c>
      <c r="D91" s="716"/>
      <c r="E91" s="717">
        <f>SUM(F91:Q91)</f>
        <v>5437</v>
      </c>
      <c r="F91" s="723">
        <f>BY38</f>
        <v>2942</v>
      </c>
      <c r="G91" s="728">
        <f t="shared" ref="G91:Q91" si="140">BZ38</f>
        <v>2495</v>
      </c>
      <c r="H91" s="728">
        <f t="shared" si="140"/>
        <v>0</v>
      </c>
      <c r="I91" s="728">
        <f t="shared" si="140"/>
        <v>0</v>
      </c>
      <c r="J91" s="728">
        <f t="shared" si="140"/>
        <v>0</v>
      </c>
      <c r="K91" s="728">
        <f t="shared" si="140"/>
        <v>0</v>
      </c>
      <c r="L91" s="728">
        <f t="shared" si="140"/>
        <v>0</v>
      </c>
      <c r="M91" s="728">
        <f t="shared" si="140"/>
        <v>0</v>
      </c>
      <c r="N91" s="728">
        <f t="shared" si="140"/>
        <v>0</v>
      </c>
      <c r="O91" s="728">
        <f t="shared" si="140"/>
        <v>0</v>
      </c>
      <c r="P91" s="728">
        <f t="shared" si="140"/>
        <v>0</v>
      </c>
      <c r="Q91" s="732">
        <f t="shared" si="140"/>
        <v>0</v>
      </c>
    </row>
    <row r="92" spans="1:17" ht="15.75" customHeight="1" thickBot="1">
      <c r="A92" s="718">
        <v>8</v>
      </c>
      <c r="B92" s="719" t="s">
        <v>881</v>
      </c>
      <c r="C92" s="719" t="s">
        <v>941</v>
      </c>
      <c r="D92" s="720"/>
      <c r="E92" s="721">
        <f>IF(E90&gt;0,E90/E91,0)</f>
        <v>3000</v>
      </c>
      <c r="F92" s="725">
        <f>IF(F90&gt;0,F90/F91,0)</f>
        <v>3000</v>
      </c>
      <c r="G92" s="726">
        <f t="shared" ref="G92:Q92" si="141">IF(G90&gt;0,G90/G91,0)</f>
        <v>3000</v>
      </c>
      <c r="H92" s="726">
        <f t="shared" si="141"/>
        <v>0</v>
      </c>
      <c r="I92" s="726">
        <f t="shared" si="141"/>
        <v>0</v>
      </c>
      <c r="J92" s="726">
        <f t="shared" si="141"/>
        <v>0</v>
      </c>
      <c r="K92" s="726">
        <f t="shared" si="141"/>
        <v>0</v>
      </c>
      <c r="L92" s="726">
        <f t="shared" si="141"/>
        <v>0</v>
      </c>
      <c r="M92" s="726">
        <f t="shared" si="141"/>
        <v>0</v>
      </c>
      <c r="N92" s="726">
        <f t="shared" si="141"/>
        <v>0</v>
      </c>
      <c r="O92" s="726">
        <f t="shared" si="141"/>
        <v>0</v>
      </c>
      <c r="P92" s="726">
        <f t="shared" si="141"/>
        <v>0</v>
      </c>
      <c r="Q92" s="727">
        <f t="shared" si="141"/>
        <v>0</v>
      </c>
    </row>
    <row r="93" spans="1:17" ht="15.75" customHeight="1">
      <c r="A93" s="697">
        <v>9</v>
      </c>
      <c r="B93" s="698" t="s">
        <v>882</v>
      </c>
      <c r="C93" s="698" t="s">
        <v>942</v>
      </c>
      <c r="D93" s="699"/>
      <c r="E93" s="700">
        <f>SUM(F93:Q93)</f>
        <v>7482025</v>
      </c>
      <c r="F93" s="722">
        <f>AJ72</f>
        <v>3892185</v>
      </c>
      <c r="G93" s="730">
        <f t="shared" ref="G93:Q93" si="142">AK72</f>
        <v>3589840</v>
      </c>
      <c r="H93" s="730">
        <f t="shared" si="142"/>
        <v>0</v>
      </c>
      <c r="I93" s="730">
        <f t="shared" si="142"/>
        <v>0</v>
      </c>
      <c r="J93" s="730">
        <f t="shared" si="142"/>
        <v>0</v>
      </c>
      <c r="K93" s="730">
        <f t="shared" si="142"/>
        <v>0</v>
      </c>
      <c r="L93" s="730">
        <f t="shared" si="142"/>
        <v>0</v>
      </c>
      <c r="M93" s="730">
        <f t="shared" si="142"/>
        <v>0</v>
      </c>
      <c r="N93" s="730">
        <f t="shared" si="142"/>
        <v>0</v>
      </c>
      <c r="O93" s="730">
        <f t="shared" si="142"/>
        <v>0</v>
      </c>
      <c r="P93" s="730">
        <f t="shared" si="142"/>
        <v>0</v>
      </c>
      <c r="Q93" s="731">
        <f t="shared" si="142"/>
        <v>0</v>
      </c>
    </row>
    <row r="94" spans="1:17" ht="15.75" customHeight="1">
      <c r="A94" s="714">
        <v>10</v>
      </c>
      <c r="B94" s="715" t="s">
        <v>883</v>
      </c>
      <c r="C94" s="715" t="s">
        <v>942</v>
      </c>
      <c r="D94" s="716"/>
      <c r="E94" s="717">
        <f>SUM(F94:Q94)</f>
        <v>600</v>
      </c>
      <c r="F94" s="723">
        <f>Meter!E136</f>
        <v>312</v>
      </c>
      <c r="G94" s="728">
        <f>Meter!F136</f>
        <v>288</v>
      </c>
      <c r="H94" s="728">
        <f>Meter!G136</f>
        <v>0</v>
      </c>
      <c r="I94" s="728">
        <f>Meter!H136</f>
        <v>0</v>
      </c>
      <c r="J94" s="728">
        <f>Meter!I136</f>
        <v>0</v>
      </c>
      <c r="K94" s="728">
        <f>Meter!J136</f>
        <v>0</v>
      </c>
      <c r="L94" s="728">
        <f>Meter!K136</f>
        <v>0</v>
      </c>
      <c r="M94" s="728">
        <f>Meter!L136</f>
        <v>0</v>
      </c>
      <c r="N94" s="728">
        <f>Meter!M136</f>
        <v>0</v>
      </c>
      <c r="O94" s="728">
        <f>Meter!N136</f>
        <v>0</v>
      </c>
      <c r="P94" s="728">
        <f>Meter!O136</f>
        <v>0</v>
      </c>
      <c r="Q94" s="732">
        <f>Meter!P136</f>
        <v>0</v>
      </c>
    </row>
    <row r="95" spans="1:17" ht="15.75" customHeight="1" thickBot="1">
      <c r="A95" s="702">
        <v>11</v>
      </c>
      <c r="B95" s="703" t="s">
        <v>884</v>
      </c>
      <c r="C95" s="703" t="s">
        <v>942</v>
      </c>
      <c r="D95" s="704"/>
      <c r="E95" s="705">
        <f>IF(E93&gt;0,E93/E94,0)</f>
        <v>12470.041666666666</v>
      </c>
      <c r="F95" s="706">
        <f>IF(F93&gt;0,F93/F94,0)</f>
        <v>12474.951923076924</v>
      </c>
      <c r="G95" s="707">
        <f t="shared" ref="G95:Q95" si="143">IF(G93&gt;0,G93/G94,0)</f>
        <v>12464.722222222223</v>
      </c>
      <c r="H95" s="707">
        <f t="shared" si="143"/>
        <v>0</v>
      </c>
      <c r="I95" s="707">
        <f t="shared" si="143"/>
        <v>0</v>
      </c>
      <c r="J95" s="707">
        <f t="shared" si="143"/>
        <v>0</v>
      </c>
      <c r="K95" s="707">
        <f t="shared" si="143"/>
        <v>0</v>
      </c>
      <c r="L95" s="707">
        <f t="shared" si="143"/>
        <v>0</v>
      </c>
      <c r="M95" s="707">
        <f t="shared" si="143"/>
        <v>0</v>
      </c>
      <c r="N95" s="707">
        <f t="shared" si="143"/>
        <v>0</v>
      </c>
      <c r="O95" s="707">
        <f t="shared" si="143"/>
        <v>0</v>
      </c>
      <c r="P95" s="707">
        <f t="shared" si="143"/>
        <v>0</v>
      </c>
      <c r="Q95" s="708">
        <f t="shared" si="143"/>
        <v>0</v>
      </c>
    </row>
    <row r="96" spans="1:17" ht="15.75" customHeight="1">
      <c r="A96" s="709">
        <v>12</v>
      </c>
      <c r="B96" s="710" t="s">
        <v>886</v>
      </c>
      <c r="C96" s="710" t="s">
        <v>943</v>
      </c>
      <c r="D96" s="711"/>
      <c r="E96" s="712">
        <f>SUM(F96:Q96)</f>
        <v>10920000</v>
      </c>
      <c r="F96" s="746">
        <f>GL38</f>
        <v>5490000</v>
      </c>
      <c r="G96" s="733">
        <f t="shared" ref="G96:Q96" si="144">GM38</f>
        <v>5430000</v>
      </c>
      <c r="H96" s="733">
        <f t="shared" si="144"/>
        <v>0</v>
      </c>
      <c r="I96" s="733">
        <f t="shared" si="144"/>
        <v>0</v>
      </c>
      <c r="J96" s="733">
        <f t="shared" si="144"/>
        <v>0</v>
      </c>
      <c r="K96" s="733">
        <f t="shared" si="144"/>
        <v>0</v>
      </c>
      <c r="L96" s="733">
        <f t="shared" si="144"/>
        <v>0</v>
      </c>
      <c r="M96" s="733">
        <f t="shared" si="144"/>
        <v>0</v>
      </c>
      <c r="N96" s="733">
        <f t="shared" si="144"/>
        <v>0</v>
      </c>
      <c r="O96" s="733">
        <f t="shared" si="144"/>
        <v>0</v>
      </c>
      <c r="P96" s="733">
        <f t="shared" si="144"/>
        <v>0</v>
      </c>
      <c r="Q96" s="743">
        <f t="shared" si="144"/>
        <v>0</v>
      </c>
    </row>
    <row r="97" spans="1:17" ht="15.75" customHeight="1">
      <c r="A97" s="714">
        <v>13</v>
      </c>
      <c r="B97" s="715" t="s">
        <v>883</v>
      </c>
      <c r="C97" s="715" t="s">
        <v>943</v>
      </c>
      <c r="D97" s="716"/>
      <c r="E97" s="717">
        <f>SUM(F97:Q97)</f>
        <v>556</v>
      </c>
      <c r="F97" s="723">
        <f>CL38</f>
        <v>279</v>
      </c>
      <c r="G97" s="728">
        <f t="shared" ref="G97:Q97" si="145">CM38</f>
        <v>277</v>
      </c>
      <c r="H97" s="728">
        <f t="shared" si="145"/>
        <v>0</v>
      </c>
      <c r="I97" s="728">
        <f t="shared" si="145"/>
        <v>0</v>
      </c>
      <c r="J97" s="728">
        <f t="shared" si="145"/>
        <v>0</v>
      </c>
      <c r="K97" s="728">
        <f t="shared" si="145"/>
        <v>0</v>
      </c>
      <c r="L97" s="728">
        <f t="shared" si="145"/>
        <v>0</v>
      </c>
      <c r="M97" s="728">
        <f t="shared" si="145"/>
        <v>0</v>
      </c>
      <c r="N97" s="728">
        <f t="shared" si="145"/>
        <v>0</v>
      </c>
      <c r="O97" s="728">
        <f t="shared" si="145"/>
        <v>0</v>
      </c>
      <c r="P97" s="728">
        <f t="shared" si="145"/>
        <v>0</v>
      </c>
      <c r="Q97" s="732">
        <f t="shared" si="145"/>
        <v>0</v>
      </c>
    </row>
    <row r="98" spans="1:17" ht="15.75" customHeight="1">
      <c r="A98" s="714">
        <v>14</v>
      </c>
      <c r="B98" s="715" t="s">
        <v>884</v>
      </c>
      <c r="C98" s="715" t="s">
        <v>943</v>
      </c>
      <c r="D98" s="716"/>
      <c r="E98" s="717">
        <f>IF(E96&gt;0,E96/E97,0)</f>
        <v>19640.287769784172</v>
      </c>
      <c r="F98" s="747">
        <f>IF(F96&gt;0,F96/F97,0)</f>
        <v>19677.419354838708</v>
      </c>
      <c r="G98" s="724">
        <f t="shared" ref="G98:Q98" si="146">IF(G96&gt;0,G96/G97,0)</f>
        <v>19602.888086642601</v>
      </c>
      <c r="H98" s="724">
        <f t="shared" si="146"/>
        <v>0</v>
      </c>
      <c r="I98" s="724">
        <f t="shared" si="146"/>
        <v>0</v>
      </c>
      <c r="J98" s="724">
        <f t="shared" si="146"/>
        <v>0</v>
      </c>
      <c r="K98" s="724">
        <f t="shared" si="146"/>
        <v>0</v>
      </c>
      <c r="L98" s="724">
        <f t="shared" si="146"/>
        <v>0</v>
      </c>
      <c r="M98" s="724">
        <f t="shared" si="146"/>
        <v>0</v>
      </c>
      <c r="N98" s="724">
        <f t="shared" si="146"/>
        <v>0</v>
      </c>
      <c r="O98" s="724">
        <f t="shared" si="146"/>
        <v>0</v>
      </c>
      <c r="P98" s="724">
        <f t="shared" si="146"/>
        <v>0</v>
      </c>
      <c r="Q98" s="738">
        <f t="shared" si="146"/>
        <v>0</v>
      </c>
    </row>
    <row r="99" spans="1:17" s="687" customFormat="1" ht="15.75" customHeight="1" thickBot="1">
      <c r="A99" s="718">
        <v>15</v>
      </c>
      <c r="B99" s="719" t="s">
        <v>936</v>
      </c>
      <c r="C99" s="719" t="s">
        <v>944</v>
      </c>
      <c r="D99" s="720"/>
      <c r="E99" s="721">
        <f>SUM(F99:Q99)</f>
        <v>15654641</v>
      </c>
      <c r="F99" s="725">
        <f>F87</f>
        <v>8035736</v>
      </c>
      <c r="G99" s="726">
        <f t="shared" ref="G99:Q99" si="147">G87</f>
        <v>7618905</v>
      </c>
      <c r="H99" s="726">
        <f t="shared" si="147"/>
        <v>0</v>
      </c>
      <c r="I99" s="726">
        <f t="shared" si="147"/>
        <v>0</v>
      </c>
      <c r="J99" s="726">
        <f t="shared" si="147"/>
        <v>0</v>
      </c>
      <c r="K99" s="726">
        <f t="shared" si="147"/>
        <v>0</v>
      </c>
      <c r="L99" s="726">
        <f t="shared" si="147"/>
        <v>0</v>
      </c>
      <c r="M99" s="726">
        <f t="shared" si="147"/>
        <v>0</v>
      </c>
      <c r="N99" s="726">
        <f t="shared" si="147"/>
        <v>0</v>
      </c>
      <c r="O99" s="726">
        <f t="shared" si="147"/>
        <v>0</v>
      </c>
      <c r="P99" s="726">
        <f t="shared" si="147"/>
        <v>0</v>
      </c>
      <c r="Q99" s="727">
        <f t="shared" si="147"/>
        <v>0</v>
      </c>
    </row>
    <row r="100" spans="1:17" s="687" customFormat="1" ht="15.75" customHeight="1">
      <c r="A100" s="697">
        <v>16</v>
      </c>
      <c r="B100" s="730" t="s">
        <v>937</v>
      </c>
      <c r="C100" s="734" t="s">
        <v>944</v>
      </c>
      <c r="D100" s="699"/>
      <c r="E100" s="700">
        <f t="shared" ref="E100:E102" si="148">SUM(F100:Q100)</f>
        <v>16311000</v>
      </c>
      <c r="F100" s="701">
        <f>F90</f>
        <v>8826000</v>
      </c>
      <c r="G100" s="735">
        <f t="shared" ref="G100:Q100" si="149">G90</f>
        <v>7485000</v>
      </c>
      <c r="H100" s="735">
        <f t="shared" si="149"/>
        <v>0</v>
      </c>
      <c r="I100" s="735">
        <f t="shared" si="149"/>
        <v>0</v>
      </c>
      <c r="J100" s="735">
        <f t="shared" si="149"/>
        <v>0</v>
      </c>
      <c r="K100" s="735">
        <f t="shared" si="149"/>
        <v>0</v>
      </c>
      <c r="L100" s="735">
        <f t="shared" si="149"/>
        <v>0</v>
      </c>
      <c r="M100" s="735">
        <f t="shared" si="149"/>
        <v>0</v>
      </c>
      <c r="N100" s="735">
        <f t="shared" si="149"/>
        <v>0</v>
      </c>
      <c r="O100" s="735">
        <f t="shared" si="149"/>
        <v>0</v>
      </c>
      <c r="P100" s="735">
        <f t="shared" si="149"/>
        <v>0</v>
      </c>
      <c r="Q100" s="736">
        <f t="shared" si="149"/>
        <v>0</v>
      </c>
    </row>
    <row r="101" spans="1:17" ht="15.75" customHeight="1">
      <c r="A101" s="737">
        <v>17</v>
      </c>
      <c r="B101" s="715" t="s">
        <v>935</v>
      </c>
      <c r="C101" s="728" t="s">
        <v>944</v>
      </c>
      <c r="D101" s="744"/>
      <c r="E101" s="717">
        <f t="shared" si="148"/>
        <v>7482025</v>
      </c>
      <c r="F101" s="747">
        <f>F93</f>
        <v>3892185</v>
      </c>
      <c r="G101" s="724">
        <f t="shared" ref="G101:Q101" si="150">G93</f>
        <v>3589840</v>
      </c>
      <c r="H101" s="724">
        <f t="shared" si="150"/>
        <v>0</v>
      </c>
      <c r="I101" s="724">
        <f t="shared" si="150"/>
        <v>0</v>
      </c>
      <c r="J101" s="724">
        <f t="shared" si="150"/>
        <v>0</v>
      </c>
      <c r="K101" s="724">
        <f t="shared" si="150"/>
        <v>0</v>
      </c>
      <c r="L101" s="724">
        <f t="shared" si="150"/>
        <v>0</v>
      </c>
      <c r="M101" s="724">
        <f t="shared" si="150"/>
        <v>0</v>
      </c>
      <c r="N101" s="724">
        <f t="shared" si="150"/>
        <v>0</v>
      </c>
      <c r="O101" s="724">
        <f t="shared" si="150"/>
        <v>0</v>
      </c>
      <c r="P101" s="724">
        <f t="shared" si="150"/>
        <v>0</v>
      </c>
      <c r="Q101" s="738">
        <f t="shared" si="150"/>
        <v>0</v>
      </c>
    </row>
    <row r="102" spans="1:17" s="687" customFormat="1" ht="15.75" customHeight="1" thickBot="1">
      <c r="A102" s="739">
        <v>18</v>
      </c>
      <c r="B102" s="740" t="s">
        <v>938</v>
      </c>
      <c r="C102" s="740" t="s">
        <v>944</v>
      </c>
      <c r="D102" s="745"/>
      <c r="E102" s="705">
        <f t="shared" si="148"/>
        <v>10920000</v>
      </c>
      <c r="F102" s="706">
        <f>F96</f>
        <v>5490000</v>
      </c>
      <c r="G102" s="707">
        <f t="shared" ref="G102:Q102" si="151">G96</f>
        <v>5430000</v>
      </c>
      <c r="H102" s="707">
        <f t="shared" si="151"/>
        <v>0</v>
      </c>
      <c r="I102" s="707">
        <f t="shared" si="151"/>
        <v>0</v>
      </c>
      <c r="J102" s="707">
        <f t="shared" si="151"/>
        <v>0</v>
      </c>
      <c r="K102" s="707">
        <f t="shared" si="151"/>
        <v>0</v>
      </c>
      <c r="L102" s="707">
        <f t="shared" si="151"/>
        <v>0</v>
      </c>
      <c r="M102" s="707">
        <f t="shared" si="151"/>
        <v>0</v>
      </c>
      <c r="N102" s="707">
        <f t="shared" si="151"/>
        <v>0</v>
      </c>
      <c r="O102" s="707">
        <f t="shared" si="151"/>
        <v>0</v>
      </c>
      <c r="P102" s="707">
        <f t="shared" si="151"/>
        <v>0</v>
      </c>
      <c r="Q102" s="708">
        <f t="shared" si="151"/>
        <v>0</v>
      </c>
    </row>
    <row r="103" spans="1:17" ht="15.75" customHeight="1">
      <c r="A103" s="521"/>
      <c r="B103" s="554"/>
      <c r="C103" s="521"/>
      <c r="D103" s="554"/>
      <c r="E103" s="521"/>
      <c r="F103" s="555"/>
      <c r="G103" s="555"/>
      <c r="H103" s="555"/>
      <c r="I103" s="555"/>
      <c r="J103" s="555"/>
      <c r="K103" s="555"/>
      <c r="L103" s="555"/>
      <c r="M103" s="555"/>
      <c r="N103" s="555"/>
      <c r="O103" s="555"/>
      <c r="P103" s="555"/>
      <c r="Q103" s="555"/>
    </row>
    <row r="104" spans="1:17" ht="15.75" customHeight="1" thickBot="1">
      <c r="A104" s="557" t="s">
        <v>821</v>
      </c>
      <c r="B104" s="558" t="s">
        <v>819</v>
      </c>
      <c r="C104" s="301" t="s">
        <v>856</v>
      </c>
      <c r="D104" s="343"/>
      <c r="E104" s="301"/>
      <c r="F104" s="301"/>
      <c r="G104" s="301"/>
      <c r="H104" s="523" t="s">
        <v>856</v>
      </c>
      <c r="I104" s="301"/>
      <c r="J104" s="301"/>
      <c r="K104" s="301"/>
      <c r="L104" s="523" t="s">
        <v>945</v>
      </c>
      <c r="M104" s="301"/>
      <c r="N104" s="301"/>
      <c r="O104" s="301"/>
      <c r="P104" s="301"/>
      <c r="Q104" s="301"/>
    </row>
    <row r="105" spans="1:17" ht="15.75" customHeight="1">
      <c r="A105" s="807" t="s">
        <v>939</v>
      </c>
      <c r="B105" s="808" t="s">
        <v>812</v>
      </c>
      <c r="C105" s="808"/>
      <c r="D105" s="809"/>
      <c r="E105" s="817">
        <v>3290</v>
      </c>
      <c r="F105" s="820">
        <v>3355</v>
      </c>
      <c r="G105" s="809">
        <v>3409</v>
      </c>
      <c r="H105" s="809"/>
      <c r="I105" s="809"/>
      <c r="J105" s="809"/>
      <c r="K105" s="809"/>
      <c r="L105" s="809"/>
      <c r="M105" s="809"/>
      <c r="N105" s="809"/>
      <c r="O105" s="809"/>
      <c r="P105" s="809"/>
      <c r="Q105" s="810"/>
    </row>
    <row r="106" spans="1:17" ht="15.75" customHeight="1">
      <c r="A106" s="811" t="s">
        <v>940</v>
      </c>
      <c r="B106" s="756" t="s">
        <v>813</v>
      </c>
      <c r="C106" s="756"/>
      <c r="D106" s="757"/>
      <c r="E106" s="818">
        <v>16639</v>
      </c>
      <c r="F106" s="821">
        <v>16695</v>
      </c>
      <c r="G106" s="757">
        <v>16793</v>
      </c>
      <c r="H106" s="757"/>
      <c r="I106" s="757"/>
      <c r="J106" s="757"/>
      <c r="K106" s="757"/>
      <c r="L106" s="757"/>
      <c r="M106" s="757"/>
      <c r="N106" s="757"/>
      <c r="O106" s="757"/>
      <c r="P106" s="757"/>
      <c r="Q106" s="812"/>
    </row>
    <row r="107" spans="1:17" ht="15.75" customHeight="1">
      <c r="A107" s="811" t="s">
        <v>941</v>
      </c>
      <c r="B107" s="756" t="s">
        <v>952</v>
      </c>
      <c r="C107" s="756"/>
      <c r="D107" s="757"/>
      <c r="E107" s="818">
        <v>2716</v>
      </c>
      <c r="F107" s="821">
        <v>2774</v>
      </c>
      <c r="G107" s="757">
        <v>2790</v>
      </c>
      <c r="H107" s="757"/>
      <c r="I107" s="757"/>
      <c r="J107" s="757"/>
      <c r="K107" s="757"/>
      <c r="L107" s="757"/>
      <c r="M107" s="757"/>
      <c r="N107" s="757"/>
      <c r="O107" s="757"/>
      <c r="P107" s="757"/>
      <c r="Q107" s="812"/>
    </row>
    <row r="108" spans="1:17" ht="15.75" customHeight="1">
      <c r="A108" s="811" t="s">
        <v>942</v>
      </c>
      <c r="B108" s="756" t="s">
        <v>953</v>
      </c>
      <c r="C108" s="756"/>
      <c r="D108" s="757"/>
      <c r="E108" s="818">
        <v>62756</v>
      </c>
      <c r="F108" s="821">
        <v>65781</v>
      </c>
      <c r="G108" s="757">
        <v>68732</v>
      </c>
      <c r="H108" s="757"/>
      <c r="I108" s="757"/>
      <c r="J108" s="757"/>
      <c r="K108" s="757"/>
      <c r="L108" s="757"/>
      <c r="M108" s="757"/>
      <c r="N108" s="757"/>
      <c r="O108" s="757"/>
      <c r="P108" s="757"/>
      <c r="Q108" s="812"/>
    </row>
    <row r="109" spans="1:17" ht="15.75" customHeight="1">
      <c r="A109" s="811" t="s">
        <v>943</v>
      </c>
      <c r="B109" s="756" t="s">
        <v>811</v>
      </c>
      <c r="C109" s="756"/>
      <c r="D109" s="757"/>
      <c r="E109" s="818">
        <v>3171</v>
      </c>
      <c r="F109" s="821">
        <v>3173</v>
      </c>
      <c r="G109" s="757">
        <v>3173</v>
      </c>
      <c r="H109" s="757"/>
      <c r="I109" s="757"/>
      <c r="J109" s="757"/>
      <c r="K109" s="757"/>
      <c r="L109" s="757"/>
      <c r="M109" s="757"/>
      <c r="N109" s="757"/>
      <c r="O109" s="757"/>
      <c r="P109" s="757"/>
      <c r="Q109" s="812"/>
    </row>
    <row r="110" spans="1:17" s="688" customFormat="1" ht="15.75" customHeight="1">
      <c r="A110" s="811" t="s">
        <v>944</v>
      </c>
      <c r="B110" s="756" t="s">
        <v>955</v>
      </c>
      <c r="C110" s="756"/>
      <c r="D110" s="757"/>
      <c r="E110" s="818">
        <v>265</v>
      </c>
      <c r="F110" s="821">
        <v>465</v>
      </c>
      <c r="G110" s="757">
        <v>578</v>
      </c>
      <c r="H110" s="757"/>
      <c r="I110" s="757"/>
      <c r="J110" s="757"/>
      <c r="K110" s="757"/>
      <c r="L110" s="757"/>
      <c r="M110" s="757"/>
      <c r="N110" s="757"/>
      <c r="O110" s="757"/>
      <c r="P110" s="757"/>
      <c r="Q110" s="812"/>
    </row>
    <row r="111" spans="1:17" ht="15.75" customHeight="1">
      <c r="A111" s="811" t="s">
        <v>946</v>
      </c>
      <c r="B111" s="756" t="s">
        <v>954</v>
      </c>
      <c r="C111" s="756"/>
      <c r="D111" s="757"/>
      <c r="E111" s="818">
        <v>25830</v>
      </c>
      <c r="F111" s="821">
        <v>26709</v>
      </c>
      <c r="G111" s="757">
        <v>27680</v>
      </c>
      <c r="H111" s="757"/>
      <c r="I111" s="757"/>
      <c r="J111" s="757"/>
      <c r="K111" s="757"/>
      <c r="L111" s="757"/>
      <c r="M111" s="757"/>
      <c r="N111" s="757"/>
      <c r="O111" s="757"/>
      <c r="P111" s="757"/>
      <c r="Q111" s="812"/>
    </row>
    <row r="112" spans="1:17" ht="15.75" customHeight="1">
      <c r="A112" s="811" t="s">
        <v>947</v>
      </c>
      <c r="B112" s="756" t="s">
        <v>968</v>
      </c>
      <c r="C112" s="756"/>
      <c r="D112" s="757"/>
      <c r="E112" s="818">
        <v>23125</v>
      </c>
      <c r="F112" s="821">
        <v>25147</v>
      </c>
      <c r="G112" s="757">
        <v>26992</v>
      </c>
      <c r="H112" s="757"/>
      <c r="I112" s="757"/>
      <c r="J112" s="757"/>
      <c r="K112" s="757"/>
      <c r="L112" s="757"/>
      <c r="M112" s="757"/>
      <c r="N112" s="757"/>
      <c r="O112" s="757"/>
      <c r="P112" s="757"/>
      <c r="Q112" s="812"/>
    </row>
    <row r="113" spans="1:22" ht="15.75" customHeight="1">
      <c r="A113" s="811" t="s">
        <v>948</v>
      </c>
      <c r="B113" s="756" t="s">
        <v>851</v>
      </c>
      <c r="C113" s="756"/>
      <c r="D113" s="757"/>
      <c r="E113" s="818">
        <v>5680</v>
      </c>
      <c r="F113" s="821">
        <v>5727</v>
      </c>
      <c r="G113" s="757">
        <v>5774</v>
      </c>
      <c r="H113" s="757"/>
      <c r="I113" s="757"/>
      <c r="J113" s="757"/>
      <c r="K113" s="757"/>
      <c r="L113" s="757"/>
      <c r="M113" s="757"/>
      <c r="N113" s="757"/>
      <c r="O113" s="757"/>
      <c r="P113" s="757"/>
      <c r="Q113" s="812"/>
    </row>
    <row r="114" spans="1:22" ht="15.75" customHeight="1">
      <c r="A114" s="811" t="s">
        <v>949</v>
      </c>
      <c r="B114" s="756" t="s">
        <v>956</v>
      </c>
      <c r="C114" s="756"/>
      <c r="D114" s="757"/>
      <c r="E114" s="818">
        <v>2691</v>
      </c>
      <c r="F114" s="821">
        <v>2845</v>
      </c>
      <c r="G114" s="757">
        <v>2951</v>
      </c>
      <c r="H114" s="757"/>
      <c r="I114" s="757"/>
      <c r="J114" s="757"/>
      <c r="K114" s="757"/>
      <c r="L114" s="757"/>
      <c r="M114" s="757"/>
      <c r="N114" s="757"/>
      <c r="O114" s="757"/>
      <c r="P114" s="757"/>
      <c r="Q114" s="812"/>
    </row>
    <row r="115" spans="1:22" ht="15.75" customHeight="1">
      <c r="A115" s="811" t="s">
        <v>950</v>
      </c>
      <c r="B115" s="756" t="s">
        <v>957</v>
      </c>
      <c r="C115" s="756"/>
      <c r="D115" s="757"/>
      <c r="E115" s="818">
        <v>3108</v>
      </c>
      <c r="F115" s="821">
        <v>3289</v>
      </c>
      <c r="G115" s="757">
        <v>3414</v>
      </c>
      <c r="H115" s="757"/>
      <c r="I115" s="757"/>
      <c r="J115" s="757"/>
      <c r="K115" s="757"/>
      <c r="L115" s="757"/>
      <c r="M115" s="757"/>
      <c r="N115" s="757"/>
      <c r="O115" s="757"/>
      <c r="P115" s="757"/>
      <c r="Q115" s="812"/>
    </row>
    <row r="116" spans="1:22" ht="15.75" customHeight="1" thickBot="1">
      <c r="A116" s="813" t="s">
        <v>951</v>
      </c>
      <c r="B116" s="814" t="s">
        <v>958</v>
      </c>
      <c r="C116" s="814"/>
      <c r="D116" s="815"/>
      <c r="E116" s="819">
        <v>8558</v>
      </c>
      <c r="F116" s="822">
        <v>9182</v>
      </c>
      <c r="G116" s="815">
        <v>9743</v>
      </c>
      <c r="H116" s="815"/>
      <c r="I116" s="815"/>
      <c r="J116" s="815"/>
      <c r="K116" s="815"/>
      <c r="L116" s="815"/>
      <c r="M116" s="815"/>
      <c r="N116" s="815"/>
      <c r="O116" s="815"/>
      <c r="P116" s="815"/>
      <c r="Q116" s="816"/>
    </row>
    <row r="117" spans="1:22" ht="15.75" customHeight="1">
      <c r="A117" s="807" t="s">
        <v>959</v>
      </c>
      <c r="B117" s="808" t="s">
        <v>892</v>
      </c>
      <c r="C117" s="808"/>
      <c r="D117" s="809"/>
      <c r="E117" s="817">
        <v>25</v>
      </c>
      <c r="F117" s="820">
        <v>35</v>
      </c>
      <c r="G117" s="809">
        <v>47</v>
      </c>
      <c r="H117" s="809"/>
      <c r="I117" s="809"/>
      <c r="J117" s="809"/>
      <c r="K117" s="809"/>
      <c r="L117" s="809"/>
      <c r="M117" s="809"/>
      <c r="N117" s="809"/>
      <c r="O117" s="809"/>
      <c r="P117" s="809"/>
      <c r="Q117" s="810"/>
    </row>
    <row r="118" spans="1:22" ht="15.75" customHeight="1">
      <c r="A118" s="811" t="s">
        <v>960</v>
      </c>
      <c r="B118" s="756" t="s">
        <v>893</v>
      </c>
      <c r="C118" s="756"/>
      <c r="D118" s="757"/>
      <c r="E118" s="818">
        <v>24</v>
      </c>
      <c r="F118" s="821">
        <v>35</v>
      </c>
      <c r="G118" s="757">
        <v>49</v>
      </c>
      <c r="H118" s="757"/>
      <c r="I118" s="757"/>
      <c r="J118" s="757"/>
      <c r="K118" s="757"/>
      <c r="L118" s="757"/>
      <c r="M118" s="757"/>
      <c r="N118" s="757"/>
      <c r="O118" s="757"/>
      <c r="P118" s="757"/>
      <c r="Q118" s="812"/>
    </row>
    <row r="119" spans="1:22" ht="15.75" customHeight="1">
      <c r="A119" s="811" t="s">
        <v>263</v>
      </c>
      <c r="B119" s="756" t="s">
        <v>890</v>
      </c>
      <c r="C119" s="756"/>
      <c r="D119" s="757"/>
      <c r="E119" s="818">
        <v>1160</v>
      </c>
      <c r="F119" s="821">
        <v>1300</v>
      </c>
      <c r="G119" s="757">
        <v>1420</v>
      </c>
      <c r="H119" s="757"/>
      <c r="I119" s="757"/>
      <c r="J119" s="757"/>
      <c r="K119" s="757"/>
      <c r="L119" s="757"/>
      <c r="M119" s="757"/>
      <c r="N119" s="757"/>
      <c r="O119" s="757"/>
      <c r="P119" s="757"/>
      <c r="Q119" s="812"/>
    </row>
    <row r="120" spans="1:22" ht="15.75" customHeight="1" thickBot="1">
      <c r="A120" s="813" t="s">
        <v>961</v>
      </c>
      <c r="B120" s="814" t="s">
        <v>891</v>
      </c>
      <c r="C120" s="814"/>
      <c r="D120" s="815"/>
      <c r="E120" s="819">
        <v>529</v>
      </c>
      <c r="F120" s="822">
        <v>681</v>
      </c>
      <c r="G120" s="815">
        <v>812</v>
      </c>
      <c r="H120" s="815"/>
      <c r="I120" s="815"/>
      <c r="J120" s="815"/>
      <c r="K120" s="815"/>
      <c r="L120" s="815"/>
      <c r="M120" s="815"/>
      <c r="N120" s="815"/>
      <c r="O120" s="815"/>
      <c r="P120" s="815"/>
      <c r="Q120" s="816"/>
    </row>
    <row r="121" spans="1:22" ht="15.75" customHeight="1">
      <c r="A121" s="94"/>
      <c r="B121" s="559"/>
      <c r="C121" s="560"/>
      <c r="D121" s="561"/>
      <c r="E121" s="560"/>
      <c r="F121" s="562"/>
      <c r="G121" s="563"/>
      <c r="H121" s="342"/>
      <c r="I121" s="342"/>
      <c r="J121" s="342"/>
      <c r="K121" s="342"/>
      <c r="L121" s="94"/>
      <c r="M121" s="342"/>
      <c r="N121" s="342"/>
      <c r="O121" s="342"/>
      <c r="P121" s="342"/>
      <c r="Q121" s="38"/>
    </row>
    <row r="122" spans="1:22" ht="15.75" customHeight="1" thickBot="1">
      <c r="A122" s="564" t="s">
        <v>822</v>
      </c>
      <c r="B122" s="558" t="s">
        <v>820</v>
      </c>
      <c r="C122" s="301"/>
      <c r="D122" s="343"/>
      <c r="E122" s="301"/>
      <c r="F122" s="301"/>
      <c r="G122" s="301"/>
      <c r="H122" s="301" t="s">
        <v>857</v>
      </c>
      <c r="I122" s="301"/>
      <c r="J122" s="301"/>
      <c r="K122" s="301"/>
      <c r="L122" s="301"/>
      <c r="M122" s="301"/>
      <c r="N122" s="301"/>
      <c r="O122" s="301"/>
      <c r="P122" s="301"/>
      <c r="Q122" s="301"/>
    </row>
    <row r="123" spans="1:22" ht="15.75" customHeight="1">
      <c r="A123" s="858" t="s">
        <v>939</v>
      </c>
      <c r="B123" s="859" t="s">
        <v>812</v>
      </c>
      <c r="C123" s="860" t="s">
        <v>970</v>
      </c>
      <c r="D123" s="827"/>
      <c r="E123" s="849"/>
      <c r="F123" s="826">
        <f>IF((F105-E105)&lt;0,0,F105-E105)</f>
        <v>65</v>
      </c>
      <c r="G123" s="827">
        <f t="shared" ref="G123:Q123" si="152">IF((G105-F105)&lt;0,0,G105-F105)</f>
        <v>54</v>
      </c>
      <c r="H123" s="827">
        <f t="shared" si="152"/>
        <v>0</v>
      </c>
      <c r="I123" s="827">
        <f t="shared" si="152"/>
        <v>0</v>
      </c>
      <c r="J123" s="827">
        <f t="shared" si="152"/>
        <v>0</v>
      </c>
      <c r="K123" s="827">
        <f t="shared" si="152"/>
        <v>0</v>
      </c>
      <c r="L123" s="827">
        <f t="shared" si="152"/>
        <v>0</v>
      </c>
      <c r="M123" s="827">
        <f t="shared" si="152"/>
        <v>0</v>
      </c>
      <c r="N123" s="827">
        <f t="shared" si="152"/>
        <v>0</v>
      </c>
      <c r="O123" s="827">
        <f t="shared" si="152"/>
        <v>0</v>
      </c>
      <c r="P123" s="827">
        <f t="shared" si="152"/>
        <v>0</v>
      </c>
      <c r="Q123" s="828">
        <f t="shared" si="152"/>
        <v>0</v>
      </c>
      <c r="V123" s="688"/>
    </row>
    <row r="124" spans="1:22" ht="15.75" customHeight="1">
      <c r="A124" s="861" t="s">
        <v>940</v>
      </c>
      <c r="B124" s="798" t="s">
        <v>813</v>
      </c>
      <c r="C124" s="799" t="s">
        <v>970</v>
      </c>
      <c r="D124" s="800"/>
      <c r="E124" s="823"/>
      <c r="F124" s="829">
        <f t="shared" ref="F124:Q124" si="153">IF((F106-E106)&lt;0,0,F106-E106)</f>
        <v>56</v>
      </c>
      <c r="G124" s="800">
        <f t="shared" si="153"/>
        <v>98</v>
      </c>
      <c r="H124" s="800">
        <f t="shared" si="153"/>
        <v>0</v>
      </c>
      <c r="I124" s="800">
        <f t="shared" si="153"/>
        <v>0</v>
      </c>
      <c r="J124" s="800">
        <f t="shared" si="153"/>
        <v>0</v>
      </c>
      <c r="K124" s="800">
        <f t="shared" si="153"/>
        <v>0</v>
      </c>
      <c r="L124" s="800">
        <f t="shared" si="153"/>
        <v>0</v>
      </c>
      <c r="M124" s="800">
        <f t="shared" si="153"/>
        <v>0</v>
      </c>
      <c r="N124" s="800">
        <f t="shared" si="153"/>
        <v>0</v>
      </c>
      <c r="O124" s="800">
        <f t="shared" si="153"/>
        <v>0</v>
      </c>
      <c r="P124" s="800">
        <f t="shared" si="153"/>
        <v>0</v>
      </c>
      <c r="Q124" s="830">
        <f t="shared" si="153"/>
        <v>0</v>
      </c>
      <c r="V124" s="688"/>
    </row>
    <row r="125" spans="1:22" ht="15.75" customHeight="1">
      <c r="A125" s="861" t="s">
        <v>941</v>
      </c>
      <c r="B125" s="798" t="s">
        <v>952</v>
      </c>
      <c r="C125" s="799" t="s">
        <v>970</v>
      </c>
      <c r="D125" s="800"/>
      <c r="E125" s="823"/>
      <c r="F125" s="829">
        <f t="shared" ref="F125:Q125" si="154">IF((F107-E107)&lt;0,0,F107-E107)</f>
        <v>58</v>
      </c>
      <c r="G125" s="800">
        <f t="shared" si="154"/>
        <v>16</v>
      </c>
      <c r="H125" s="800">
        <f t="shared" si="154"/>
        <v>0</v>
      </c>
      <c r="I125" s="800">
        <f t="shared" si="154"/>
        <v>0</v>
      </c>
      <c r="J125" s="800">
        <f t="shared" si="154"/>
        <v>0</v>
      </c>
      <c r="K125" s="800">
        <f t="shared" si="154"/>
        <v>0</v>
      </c>
      <c r="L125" s="800">
        <f t="shared" si="154"/>
        <v>0</v>
      </c>
      <c r="M125" s="800">
        <f t="shared" si="154"/>
        <v>0</v>
      </c>
      <c r="N125" s="800">
        <f t="shared" si="154"/>
        <v>0</v>
      </c>
      <c r="O125" s="800">
        <f t="shared" si="154"/>
        <v>0</v>
      </c>
      <c r="P125" s="800">
        <f t="shared" si="154"/>
        <v>0</v>
      </c>
      <c r="Q125" s="830">
        <f t="shared" si="154"/>
        <v>0</v>
      </c>
      <c r="V125" s="688"/>
    </row>
    <row r="126" spans="1:22" ht="15.75" customHeight="1">
      <c r="A126" s="861" t="s">
        <v>942</v>
      </c>
      <c r="B126" s="798" t="s">
        <v>953</v>
      </c>
      <c r="C126" s="799" t="s">
        <v>970</v>
      </c>
      <c r="D126" s="800"/>
      <c r="E126" s="823"/>
      <c r="F126" s="829">
        <f t="shared" ref="F126:Q126" si="155">IF((F108-E108)&lt;0,0,F108-E108)</f>
        <v>3025</v>
      </c>
      <c r="G126" s="800">
        <f t="shared" si="155"/>
        <v>2951</v>
      </c>
      <c r="H126" s="800">
        <f t="shared" si="155"/>
        <v>0</v>
      </c>
      <c r="I126" s="800">
        <f t="shared" si="155"/>
        <v>0</v>
      </c>
      <c r="J126" s="800">
        <f t="shared" si="155"/>
        <v>0</v>
      </c>
      <c r="K126" s="800">
        <f t="shared" si="155"/>
        <v>0</v>
      </c>
      <c r="L126" s="800">
        <f t="shared" si="155"/>
        <v>0</v>
      </c>
      <c r="M126" s="800">
        <f t="shared" si="155"/>
        <v>0</v>
      </c>
      <c r="N126" s="800">
        <f t="shared" si="155"/>
        <v>0</v>
      </c>
      <c r="O126" s="800">
        <f t="shared" si="155"/>
        <v>0</v>
      </c>
      <c r="P126" s="800">
        <f t="shared" si="155"/>
        <v>0</v>
      </c>
      <c r="Q126" s="830">
        <f t="shared" si="155"/>
        <v>0</v>
      </c>
      <c r="V126" s="688"/>
    </row>
    <row r="127" spans="1:22" ht="15.75" customHeight="1">
      <c r="A127" s="861" t="s">
        <v>943</v>
      </c>
      <c r="B127" s="798" t="s">
        <v>811</v>
      </c>
      <c r="C127" s="799" t="s">
        <v>970</v>
      </c>
      <c r="D127" s="800"/>
      <c r="E127" s="823"/>
      <c r="F127" s="829">
        <f t="shared" ref="F127:Q127" si="156">IF((F109-E109)&lt;0,0,F109-E109)</f>
        <v>2</v>
      </c>
      <c r="G127" s="800">
        <f t="shared" si="156"/>
        <v>0</v>
      </c>
      <c r="H127" s="800">
        <f t="shared" si="156"/>
        <v>0</v>
      </c>
      <c r="I127" s="800">
        <f t="shared" si="156"/>
        <v>0</v>
      </c>
      <c r="J127" s="800">
        <f t="shared" si="156"/>
        <v>0</v>
      </c>
      <c r="K127" s="800">
        <f t="shared" si="156"/>
        <v>0</v>
      </c>
      <c r="L127" s="800">
        <f t="shared" si="156"/>
        <v>0</v>
      </c>
      <c r="M127" s="800">
        <f t="shared" si="156"/>
        <v>0</v>
      </c>
      <c r="N127" s="800">
        <f t="shared" si="156"/>
        <v>0</v>
      </c>
      <c r="O127" s="800">
        <f t="shared" si="156"/>
        <v>0</v>
      </c>
      <c r="P127" s="800">
        <f t="shared" si="156"/>
        <v>0</v>
      </c>
      <c r="Q127" s="830">
        <f t="shared" si="156"/>
        <v>0</v>
      </c>
      <c r="V127" s="688"/>
    </row>
    <row r="128" spans="1:22" ht="15.75" customHeight="1">
      <c r="A128" s="861" t="s">
        <v>944</v>
      </c>
      <c r="B128" s="798" t="s">
        <v>955</v>
      </c>
      <c r="C128" s="799" t="s">
        <v>970</v>
      </c>
      <c r="D128" s="800"/>
      <c r="E128" s="823"/>
      <c r="F128" s="829">
        <f t="shared" ref="F128:Q128" si="157">IF((F110-E110)&lt;0,0,F110-E110)</f>
        <v>200</v>
      </c>
      <c r="G128" s="800">
        <f t="shared" si="157"/>
        <v>113</v>
      </c>
      <c r="H128" s="800">
        <f t="shared" si="157"/>
        <v>0</v>
      </c>
      <c r="I128" s="800">
        <f t="shared" si="157"/>
        <v>0</v>
      </c>
      <c r="J128" s="800">
        <f t="shared" si="157"/>
        <v>0</v>
      </c>
      <c r="K128" s="800">
        <f t="shared" si="157"/>
        <v>0</v>
      </c>
      <c r="L128" s="800">
        <f t="shared" si="157"/>
        <v>0</v>
      </c>
      <c r="M128" s="800">
        <f t="shared" si="157"/>
        <v>0</v>
      </c>
      <c r="N128" s="800">
        <f t="shared" si="157"/>
        <v>0</v>
      </c>
      <c r="O128" s="800">
        <f t="shared" si="157"/>
        <v>0</v>
      </c>
      <c r="P128" s="800">
        <f t="shared" si="157"/>
        <v>0</v>
      </c>
      <c r="Q128" s="830">
        <f t="shared" si="157"/>
        <v>0</v>
      </c>
      <c r="V128" s="688"/>
    </row>
    <row r="129" spans="1:22" ht="15.75" customHeight="1">
      <c r="A129" s="861" t="s">
        <v>946</v>
      </c>
      <c r="B129" s="798" t="s">
        <v>954</v>
      </c>
      <c r="C129" s="799" t="s">
        <v>970</v>
      </c>
      <c r="D129" s="800"/>
      <c r="E129" s="823"/>
      <c r="F129" s="829">
        <f t="shared" ref="F129:Q129" si="158">IF((F111-E111)&lt;0,0,F111-E111)</f>
        <v>879</v>
      </c>
      <c r="G129" s="800">
        <f t="shared" si="158"/>
        <v>971</v>
      </c>
      <c r="H129" s="800">
        <f t="shared" si="158"/>
        <v>0</v>
      </c>
      <c r="I129" s="800">
        <f t="shared" si="158"/>
        <v>0</v>
      </c>
      <c r="J129" s="800">
        <f t="shared" si="158"/>
        <v>0</v>
      </c>
      <c r="K129" s="800">
        <f t="shared" si="158"/>
        <v>0</v>
      </c>
      <c r="L129" s="800">
        <f t="shared" si="158"/>
        <v>0</v>
      </c>
      <c r="M129" s="800">
        <f t="shared" si="158"/>
        <v>0</v>
      </c>
      <c r="N129" s="800">
        <f t="shared" si="158"/>
        <v>0</v>
      </c>
      <c r="O129" s="800">
        <f t="shared" si="158"/>
        <v>0</v>
      </c>
      <c r="P129" s="800">
        <f t="shared" si="158"/>
        <v>0</v>
      </c>
      <c r="Q129" s="830">
        <f t="shared" si="158"/>
        <v>0</v>
      </c>
      <c r="V129" s="688"/>
    </row>
    <row r="130" spans="1:22" ht="15.75" customHeight="1">
      <c r="A130" s="861" t="s">
        <v>947</v>
      </c>
      <c r="B130" s="798" t="s">
        <v>968</v>
      </c>
      <c r="C130" s="799" t="s">
        <v>970</v>
      </c>
      <c r="D130" s="800"/>
      <c r="E130" s="823"/>
      <c r="F130" s="829">
        <f t="shared" ref="F130:Q130" si="159">IF((F112-E112)&lt;0,0,F112-E112)</f>
        <v>2022</v>
      </c>
      <c r="G130" s="800">
        <f t="shared" si="159"/>
        <v>1845</v>
      </c>
      <c r="H130" s="800">
        <f t="shared" si="159"/>
        <v>0</v>
      </c>
      <c r="I130" s="800">
        <f t="shared" si="159"/>
        <v>0</v>
      </c>
      <c r="J130" s="800">
        <f t="shared" si="159"/>
        <v>0</v>
      </c>
      <c r="K130" s="800">
        <f t="shared" si="159"/>
        <v>0</v>
      </c>
      <c r="L130" s="800">
        <f t="shared" si="159"/>
        <v>0</v>
      </c>
      <c r="M130" s="800">
        <f t="shared" si="159"/>
        <v>0</v>
      </c>
      <c r="N130" s="800">
        <f t="shared" si="159"/>
        <v>0</v>
      </c>
      <c r="O130" s="800">
        <f t="shared" si="159"/>
        <v>0</v>
      </c>
      <c r="P130" s="800">
        <f t="shared" si="159"/>
        <v>0</v>
      </c>
      <c r="Q130" s="830">
        <f t="shared" si="159"/>
        <v>0</v>
      </c>
      <c r="V130" s="688"/>
    </row>
    <row r="131" spans="1:22" ht="15.75" customHeight="1">
      <c r="A131" s="861" t="s">
        <v>948</v>
      </c>
      <c r="B131" s="798" t="s">
        <v>851</v>
      </c>
      <c r="C131" s="799" t="s">
        <v>970</v>
      </c>
      <c r="D131" s="800"/>
      <c r="E131" s="823"/>
      <c r="F131" s="829">
        <f t="shared" ref="F131:Q131" si="160">IF((F113-E113)&lt;0,0,F113-E113)</f>
        <v>47</v>
      </c>
      <c r="G131" s="800">
        <f t="shared" si="160"/>
        <v>47</v>
      </c>
      <c r="H131" s="800">
        <f t="shared" si="160"/>
        <v>0</v>
      </c>
      <c r="I131" s="800">
        <f t="shared" si="160"/>
        <v>0</v>
      </c>
      <c r="J131" s="800">
        <f t="shared" si="160"/>
        <v>0</v>
      </c>
      <c r="K131" s="800">
        <f t="shared" si="160"/>
        <v>0</v>
      </c>
      <c r="L131" s="800">
        <f t="shared" si="160"/>
        <v>0</v>
      </c>
      <c r="M131" s="800">
        <f t="shared" si="160"/>
        <v>0</v>
      </c>
      <c r="N131" s="800">
        <f t="shared" si="160"/>
        <v>0</v>
      </c>
      <c r="O131" s="800">
        <f t="shared" si="160"/>
        <v>0</v>
      </c>
      <c r="P131" s="800">
        <f t="shared" si="160"/>
        <v>0</v>
      </c>
      <c r="Q131" s="830">
        <f t="shared" si="160"/>
        <v>0</v>
      </c>
      <c r="V131" s="688"/>
    </row>
    <row r="132" spans="1:22" ht="15.75" customHeight="1">
      <c r="A132" s="861" t="s">
        <v>949</v>
      </c>
      <c r="B132" s="798" t="s">
        <v>956</v>
      </c>
      <c r="C132" s="799" t="s">
        <v>970</v>
      </c>
      <c r="D132" s="800"/>
      <c r="E132" s="823"/>
      <c r="F132" s="829">
        <f t="shared" ref="F132:Q132" si="161">IF((F114-E114)&lt;0,0,F114-E114)</f>
        <v>154</v>
      </c>
      <c r="G132" s="800">
        <f t="shared" si="161"/>
        <v>106</v>
      </c>
      <c r="H132" s="800">
        <f t="shared" si="161"/>
        <v>0</v>
      </c>
      <c r="I132" s="800">
        <f t="shared" si="161"/>
        <v>0</v>
      </c>
      <c r="J132" s="800">
        <f t="shared" si="161"/>
        <v>0</v>
      </c>
      <c r="K132" s="800">
        <f t="shared" si="161"/>
        <v>0</v>
      </c>
      <c r="L132" s="800">
        <f t="shared" si="161"/>
        <v>0</v>
      </c>
      <c r="M132" s="800">
        <f t="shared" si="161"/>
        <v>0</v>
      </c>
      <c r="N132" s="800">
        <f t="shared" si="161"/>
        <v>0</v>
      </c>
      <c r="O132" s="800">
        <f t="shared" si="161"/>
        <v>0</v>
      </c>
      <c r="P132" s="800">
        <f t="shared" si="161"/>
        <v>0</v>
      </c>
      <c r="Q132" s="830">
        <f t="shared" si="161"/>
        <v>0</v>
      </c>
      <c r="V132" s="688"/>
    </row>
    <row r="133" spans="1:22" ht="15.75" customHeight="1">
      <c r="A133" s="861" t="s">
        <v>950</v>
      </c>
      <c r="B133" s="798" t="s">
        <v>957</v>
      </c>
      <c r="C133" s="799" t="s">
        <v>970</v>
      </c>
      <c r="D133" s="800"/>
      <c r="E133" s="823"/>
      <c r="F133" s="829">
        <f t="shared" ref="F133:Q133" si="162">IF((F115-E115)&lt;0,0,F115-E115)</f>
        <v>181</v>
      </c>
      <c r="G133" s="800">
        <f t="shared" si="162"/>
        <v>125</v>
      </c>
      <c r="H133" s="800">
        <f t="shared" si="162"/>
        <v>0</v>
      </c>
      <c r="I133" s="800">
        <f t="shared" si="162"/>
        <v>0</v>
      </c>
      <c r="J133" s="800">
        <f t="shared" si="162"/>
        <v>0</v>
      </c>
      <c r="K133" s="800">
        <f t="shared" si="162"/>
        <v>0</v>
      </c>
      <c r="L133" s="800">
        <f t="shared" si="162"/>
        <v>0</v>
      </c>
      <c r="M133" s="800">
        <f t="shared" si="162"/>
        <v>0</v>
      </c>
      <c r="N133" s="800">
        <f t="shared" si="162"/>
        <v>0</v>
      </c>
      <c r="O133" s="800">
        <f t="shared" si="162"/>
        <v>0</v>
      </c>
      <c r="P133" s="800">
        <f t="shared" si="162"/>
        <v>0</v>
      </c>
      <c r="Q133" s="830">
        <f t="shared" si="162"/>
        <v>0</v>
      </c>
      <c r="V133" s="688"/>
    </row>
    <row r="134" spans="1:22" ht="15.75" customHeight="1">
      <c r="A134" s="861" t="s">
        <v>951</v>
      </c>
      <c r="B134" s="798" t="s">
        <v>958</v>
      </c>
      <c r="C134" s="799" t="s">
        <v>970</v>
      </c>
      <c r="D134" s="800"/>
      <c r="E134" s="823"/>
      <c r="F134" s="829">
        <f t="shared" ref="F134:Q134" si="163">IF((F116-E116)&lt;0,0,F116-E116)</f>
        <v>624</v>
      </c>
      <c r="G134" s="800">
        <f t="shared" si="163"/>
        <v>561</v>
      </c>
      <c r="H134" s="800">
        <f t="shared" si="163"/>
        <v>0</v>
      </c>
      <c r="I134" s="800">
        <f t="shared" si="163"/>
        <v>0</v>
      </c>
      <c r="J134" s="800">
        <f t="shared" si="163"/>
        <v>0</v>
      </c>
      <c r="K134" s="800">
        <f t="shared" si="163"/>
        <v>0</v>
      </c>
      <c r="L134" s="800">
        <f t="shared" si="163"/>
        <v>0</v>
      </c>
      <c r="M134" s="800">
        <f t="shared" si="163"/>
        <v>0</v>
      </c>
      <c r="N134" s="800">
        <f t="shared" si="163"/>
        <v>0</v>
      </c>
      <c r="O134" s="800">
        <f t="shared" si="163"/>
        <v>0</v>
      </c>
      <c r="P134" s="800">
        <f t="shared" si="163"/>
        <v>0</v>
      </c>
      <c r="Q134" s="830">
        <f t="shared" si="163"/>
        <v>0</v>
      </c>
      <c r="V134" s="688"/>
    </row>
    <row r="135" spans="1:22" ht="15.75" customHeight="1">
      <c r="A135" s="861" t="s">
        <v>959</v>
      </c>
      <c r="B135" s="798" t="s">
        <v>892</v>
      </c>
      <c r="C135" s="799" t="s">
        <v>970</v>
      </c>
      <c r="D135" s="800"/>
      <c r="E135" s="823"/>
      <c r="F135" s="829">
        <f t="shared" ref="F135:Q135" si="164">IF((F117-E117)&lt;0,0,F117-E117)</f>
        <v>10</v>
      </c>
      <c r="G135" s="800">
        <f t="shared" si="164"/>
        <v>12</v>
      </c>
      <c r="H135" s="800">
        <f t="shared" si="164"/>
        <v>0</v>
      </c>
      <c r="I135" s="800">
        <f t="shared" si="164"/>
        <v>0</v>
      </c>
      <c r="J135" s="800">
        <f t="shared" si="164"/>
        <v>0</v>
      </c>
      <c r="K135" s="800">
        <f t="shared" si="164"/>
        <v>0</v>
      </c>
      <c r="L135" s="800">
        <f t="shared" si="164"/>
        <v>0</v>
      </c>
      <c r="M135" s="800">
        <f t="shared" si="164"/>
        <v>0</v>
      </c>
      <c r="N135" s="800">
        <f t="shared" si="164"/>
        <v>0</v>
      </c>
      <c r="O135" s="800">
        <f t="shared" si="164"/>
        <v>0</v>
      </c>
      <c r="P135" s="800">
        <f t="shared" si="164"/>
        <v>0</v>
      </c>
      <c r="Q135" s="830">
        <f t="shared" si="164"/>
        <v>0</v>
      </c>
      <c r="V135" s="688"/>
    </row>
    <row r="136" spans="1:22" ht="15.75" customHeight="1">
      <c r="A136" s="861" t="s">
        <v>960</v>
      </c>
      <c r="B136" s="798" t="s">
        <v>893</v>
      </c>
      <c r="C136" s="799" t="s">
        <v>970</v>
      </c>
      <c r="D136" s="800"/>
      <c r="E136" s="823"/>
      <c r="F136" s="829">
        <f t="shared" ref="F136:Q136" si="165">IF((F118-E118)&lt;0,0,F118-E118)</f>
        <v>11</v>
      </c>
      <c r="G136" s="800">
        <f t="shared" si="165"/>
        <v>14</v>
      </c>
      <c r="H136" s="800">
        <f t="shared" si="165"/>
        <v>0</v>
      </c>
      <c r="I136" s="800">
        <f t="shared" si="165"/>
        <v>0</v>
      </c>
      <c r="J136" s="800">
        <f t="shared" si="165"/>
        <v>0</v>
      </c>
      <c r="K136" s="800">
        <f t="shared" si="165"/>
        <v>0</v>
      </c>
      <c r="L136" s="800">
        <f t="shared" si="165"/>
        <v>0</v>
      </c>
      <c r="M136" s="800">
        <f t="shared" si="165"/>
        <v>0</v>
      </c>
      <c r="N136" s="800">
        <f t="shared" si="165"/>
        <v>0</v>
      </c>
      <c r="O136" s="800">
        <f t="shared" si="165"/>
        <v>0</v>
      </c>
      <c r="P136" s="800">
        <f t="shared" si="165"/>
        <v>0</v>
      </c>
      <c r="Q136" s="830">
        <f t="shared" si="165"/>
        <v>0</v>
      </c>
      <c r="V136" s="688"/>
    </row>
    <row r="137" spans="1:22" ht="15.75" customHeight="1">
      <c r="A137" s="861" t="s">
        <v>263</v>
      </c>
      <c r="B137" s="798" t="s">
        <v>890</v>
      </c>
      <c r="C137" s="799" t="s">
        <v>970</v>
      </c>
      <c r="D137" s="800"/>
      <c r="E137" s="823"/>
      <c r="F137" s="829">
        <f t="shared" ref="F137:Q137" si="166">IF((F119-E119)&lt;0,0,F119-E119)</f>
        <v>140</v>
      </c>
      <c r="G137" s="800">
        <f t="shared" si="166"/>
        <v>120</v>
      </c>
      <c r="H137" s="800">
        <f t="shared" si="166"/>
        <v>0</v>
      </c>
      <c r="I137" s="800">
        <f t="shared" si="166"/>
        <v>0</v>
      </c>
      <c r="J137" s="800">
        <f t="shared" si="166"/>
        <v>0</v>
      </c>
      <c r="K137" s="800">
        <f t="shared" si="166"/>
        <v>0</v>
      </c>
      <c r="L137" s="800">
        <f t="shared" si="166"/>
        <v>0</v>
      </c>
      <c r="M137" s="800">
        <f t="shared" si="166"/>
        <v>0</v>
      </c>
      <c r="N137" s="800">
        <f t="shared" si="166"/>
        <v>0</v>
      </c>
      <c r="O137" s="800">
        <f t="shared" si="166"/>
        <v>0</v>
      </c>
      <c r="P137" s="800">
        <f t="shared" si="166"/>
        <v>0</v>
      </c>
      <c r="Q137" s="830">
        <f t="shared" si="166"/>
        <v>0</v>
      </c>
      <c r="V137" s="688"/>
    </row>
    <row r="138" spans="1:22" s="688" customFormat="1" ht="15.75" customHeight="1" thickBot="1">
      <c r="A138" s="862" t="s">
        <v>961</v>
      </c>
      <c r="B138" s="836" t="s">
        <v>891</v>
      </c>
      <c r="C138" s="837" t="s">
        <v>970</v>
      </c>
      <c r="D138" s="838"/>
      <c r="E138" s="839"/>
      <c r="F138" s="840">
        <f t="shared" ref="F138:Q138" si="167">IF((F120-E120)&lt;0,0,F120-E120)</f>
        <v>152</v>
      </c>
      <c r="G138" s="838">
        <f t="shared" si="167"/>
        <v>131</v>
      </c>
      <c r="H138" s="838">
        <f t="shared" si="167"/>
        <v>0</v>
      </c>
      <c r="I138" s="838">
        <f t="shared" si="167"/>
        <v>0</v>
      </c>
      <c r="J138" s="838">
        <f t="shared" si="167"/>
        <v>0</v>
      </c>
      <c r="K138" s="838">
        <f t="shared" si="167"/>
        <v>0</v>
      </c>
      <c r="L138" s="838">
        <f t="shared" si="167"/>
        <v>0</v>
      </c>
      <c r="M138" s="838">
        <f t="shared" si="167"/>
        <v>0</v>
      </c>
      <c r="N138" s="838">
        <f t="shared" si="167"/>
        <v>0</v>
      </c>
      <c r="O138" s="838">
        <f t="shared" si="167"/>
        <v>0</v>
      </c>
      <c r="P138" s="838">
        <f t="shared" si="167"/>
        <v>0</v>
      </c>
      <c r="Q138" s="841">
        <f t="shared" si="167"/>
        <v>0</v>
      </c>
    </row>
    <row r="139" spans="1:22" ht="15.75" customHeight="1">
      <c r="A139" s="847">
        <v>1</v>
      </c>
      <c r="B139" s="848" t="s">
        <v>962</v>
      </c>
      <c r="C139" s="827" t="s">
        <v>858</v>
      </c>
      <c r="D139" s="827"/>
      <c r="E139" s="849"/>
      <c r="F139" s="826">
        <f>Meter!E133</f>
        <v>4165</v>
      </c>
      <c r="G139" s="827">
        <f>Meter!F133</f>
        <v>4017</v>
      </c>
      <c r="H139" s="827">
        <f>Meter!G133</f>
        <v>1880</v>
      </c>
      <c r="I139" s="827">
        <f>Meter!H133</f>
        <v>0</v>
      </c>
      <c r="J139" s="827">
        <f>Meter!I133</f>
        <v>0</v>
      </c>
      <c r="K139" s="827">
        <f>Meter!J133</f>
        <v>0</v>
      </c>
      <c r="L139" s="827">
        <f>Meter!K133</f>
        <v>0</v>
      </c>
      <c r="M139" s="827">
        <f>Meter!L133</f>
        <v>0</v>
      </c>
      <c r="N139" s="827">
        <f>Meter!M133</f>
        <v>0</v>
      </c>
      <c r="O139" s="827">
        <f>Meter!N133</f>
        <v>0</v>
      </c>
      <c r="P139" s="827">
        <f>Meter!O133</f>
        <v>0</v>
      </c>
      <c r="Q139" s="828">
        <f>Meter!P133</f>
        <v>0</v>
      </c>
    </row>
    <row r="140" spans="1:22" ht="15.75" customHeight="1">
      <c r="A140" s="850">
        <v>2</v>
      </c>
      <c r="B140" s="801" t="s">
        <v>871</v>
      </c>
      <c r="C140" s="800" t="s">
        <v>858</v>
      </c>
      <c r="D140" s="802"/>
      <c r="E140" s="824"/>
      <c r="F140" s="831">
        <f t="shared" ref="F140:Q140" si="168">BY38</f>
        <v>2942</v>
      </c>
      <c r="G140" s="802">
        <f t="shared" si="168"/>
        <v>2495</v>
      </c>
      <c r="H140" s="802">
        <f t="shared" si="168"/>
        <v>0</v>
      </c>
      <c r="I140" s="802">
        <f t="shared" si="168"/>
        <v>0</v>
      </c>
      <c r="J140" s="802">
        <f t="shared" si="168"/>
        <v>0</v>
      </c>
      <c r="K140" s="802">
        <f t="shared" si="168"/>
        <v>0</v>
      </c>
      <c r="L140" s="802">
        <f t="shared" si="168"/>
        <v>0</v>
      </c>
      <c r="M140" s="802">
        <f t="shared" si="168"/>
        <v>0</v>
      </c>
      <c r="N140" s="802">
        <f t="shared" si="168"/>
        <v>0</v>
      </c>
      <c r="O140" s="802">
        <f t="shared" si="168"/>
        <v>0</v>
      </c>
      <c r="P140" s="802">
        <f t="shared" si="168"/>
        <v>0</v>
      </c>
      <c r="Q140" s="832">
        <f t="shared" si="168"/>
        <v>0</v>
      </c>
    </row>
    <row r="141" spans="1:22" ht="15.75" customHeight="1">
      <c r="A141" s="850">
        <v>3</v>
      </c>
      <c r="B141" s="801" t="s">
        <v>814</v>
      </c>
      <c r="C141" s="800" t="s">
        <v>858</v>
      </c>
      <c r="D141" s="802"/>
      <c r="E141" s="824"/>
      <c r="F141" s="831">
        <f>SUM(F127,F128,F129)</f>
        <v>1081</v>
      </c>
      <c r="G141" s="802">
        <f t="shared" ref="G141:Q141" si="169">SUM(G127,G128,G129)</f>
        <v>1084</v>
      </c>
      <c r="H141" s="802">
        <f t="shared" si="169"/>
        <v>0</v>
      </c>
      <c r="I141" s="802">
        <f t="shared" si="169"/>
        <v>0</v>
      </c>
      <c r="J141" s="802">
        <f t="shared" si="169"/>
        <v>0</v>
      </c>
      <c r="K141" s="802">
        <f t="shared" si="169"/>
        <v>0</v>
      </c>
      <c r="L141" s="802">
        <f t="shared" si="169"/>
        <v>0</v>
      </c>
      <c r="M141" s="802">
        <f t="shared" si="169"/>
        <v>0</v>
      </c>
      <c r="N141" s="802">
        <f t="shared" si="169"/>
        <v>0</v>
      </c>
      <c r="O141" s="802">
        <f t="shared" si="169"/>
        <v>0</v>
      </c>
      <c r="P141" s="802">
        <f t="shared" si="169"/>
        <v>0</v>
      </c>
      <c r="Q141" s="832">
        <f t="shared" si="169"/>
        <v>0</v>
      </c>
    </row>
    <row r="142" spans="1:22" ht="15.75" customHeight="1">
      <c r="A142" s="850">
        <v>4</v>
      </c>
      <c r="B142" s="803" t="s">
        <v>815</v>
      </c>
      <c r="C142" s="800" t="s">
        <v>858</v>
      </c>
      <c r="D142" s="802"/>
      <c r="E142" s="823"/>
      <c r="F142" s="831">
        <f t="shared" ref="F142:Q142" si="170">F123</f>
        <v>65</v>
      </c>
      <c r="G142" s="802">
        <f t="shared" si="170"/>
        <v>54</v>
      </c>
      <c r="H142" s="802">
        <f t="shared" si="170"/>
        <v>0</v>
      </c>
      <c r="I142" s="802">
        <f t="shared" si="170"/>
        <v>0</v>
      </c>
      <c r="J142" s="802">
        <f t="shared" si="170"/>
        <v>0</v>
      </c>
      <c r="K142" s="802">
        <f t="shared" si="170"/>
        <v>0</v>
      </c>
      <c r="L142" s="802">
        <f t="shared" si="170"/>
        <v>0</v>
      </c>
      <c r="M142" s="802">
        <f t="shared" si="170"/>
        <v>0</v>
      </c>
      <c r="N142" s="802">
        <f t="shared" si="170"/>
        <v>0</v>
      </c>
      <c r="O142" s="802">
        <f t="shared" si="170"/>
        <v>0</v>
      </c>
      <c r="P142" s="802">
        <f t="shared" si="170"/>
        <v>0</v>
      </c>
      <c r="Q142" s="832">
        <f t="shared" si="170"/>
        <v>0</v>
      </c>
    </row>
    <row r="143" spans="1:22" ht="15.75" customHeight="1">
      <c r="A143" s="850">
        <v>5</v>
      </c>
      <c r="B143" s="803" t="s">
        <v>870</v>
      </c>
      <c r="C143" s="800" t="s">
        <v>858</v>
      </c>
      <c r="D143" s="802"/>
      <c r="E143" s="823"/>
      <c r="F143" s="831">
        <f>Meter!E90</f>
        <v>45</v>
      </c>
      <c r="G143" s="802">
        <f>Meter!F90</f>
        <v>66</v>
      </c>
      <c r="H143" s="802">
        <f>Meter!G90</f>
        <v>0</v>
      </c>
      <c r="I143" s="802">
        <f>Meter!H90</f>
        <v>0</v>
      </c>
      <c r="J143" s="802">
        <f>Meter!I90</f>
        <v>0</v>
      </c>
      <c r="K143" s="802">
        <f>Meter!J90</f>
        <v>0</v>
      </c>
      <c r="L143" s="802">
        <f>Meter!K90</f>
        <v>0</v>
      </c>
      <c r="M143" s="802">
        <f>Meter!L90</f>
        <v>0</v>
      </c>
      <c r="N143" s="802">
        <f>Meter!M90</f>
        <v>0</v>
      </c>
      <c r="O143" s="802">
        <f>Meter!N90</f>
        <v>0</v>
      </c>
      <c r="P143" s="802">
        <f>Meter!O90</f>
        <v>0</v>
      </c>
      <c r="Q143" s="832">
        <f>Meter!P90</f>
        <v>0</v>
      </c>
    </row>
    <row r="144" spans="1:22" ht="15.75" customHeight="1">
      <c r="A144" s="850">
        <v>6</v>
      </c>
      <c r="B144" s="803" t="s">
        <v>816</v>
      </c>
      <c r="C144" s="800" t="s">
        <v>858</v>
      </c>
      <c r="D144" s="802"/>
      <c r="E144" s="823"/>
      <c r="F144" s="831">
        <f t="shared" ref="F144:Q144" si="171">SUM(BY9:BY11)</f>
        <v>288</v>
      </c>
      <c r="G144" s="802">
        <f t="shared" si="171"/>
        <v>153</v>
      </c>
      <c r="H144" s="802">
        <f t="shared" si="171"/>
        <v>0</v>
      </c>
      <c r="I144" s="802">
        <f t="shared" si="171"/>
        <v>0</v>
      </c>
      <c r="J144" s="802">
        <f t="shared" si="171"/>
        <v>0</v>
      </c>
      <c r="K144" s="802">
        <f t="shared" si="171"/>
        <v>0</v>
      </c>
      <c r="L144" s="802">
        <f t="shared" si="171"/>
        <v>0</v>
      </c>
      <c r="M144" s="802">
        <f t="shared" si="171"/>
        <v>0</v>
      </c>
      <c r="N144" s="802">
        <f t="shared" si="171"/>
        <v>0</v>
      </c>
      <c r="O144" s="802">
        <f t="shared" si="171"/>
        <v>0</v>
      </c>
      <c r="P144" s="802">
        <f t="shared" si="171"/>
        <v>0</v>
      </c>
      <c r="Q144" s="832">
        <f t="shared" si="171"/>
        <v>0</v>
      </c>
    </row>
    <row r="145" spans="1:17" ht="15.75" customHeight="1">
      <c r="A145" s="850">
        <v>7</v>
      </c>
      <c r="B145" s="803" t="s">
        <v>852</v>
      </c>
      <c r="C145" s="800" t="s">
        <v>858</v>
      </c>
      <c r="D145" s="802"/>
      <c r="E145" s="824"/>
      <c r="F145" s="829">
        <f t="shared" ref="F145:Q145" si="172">BY12</f>
        <v>128</v>
      </c>
      <c r="G145" s="800">
        <f t="shared" si="172"/>
        <v>95</v>
      </c>
      <c r="H145" s="800">
        <f t="shared" si="172"/>
        <v>0</v>
      </c>
      <c r="I145" s="800">
        <f t="shared" si="172"/>
        <v>0</v>
      </c>
      <c r="J145" s="800">
        <f t="shared" si="172"/>
        <v>0</v>
      </c>
      <c r="K145" s="800">
        <f t="shared" si="172"/>
        <v>0</v>
      </c>
      <c r="L145" s="800">
        <f t="shared" si="172"/>
        <v>0</v>
      </c>
      <c r="M145" s="800">
        <f t="shared" si="172"/>
        <v>0</v>
      </c>
      <c r="N145" s="800">
        <f t="shared" si="172"/>
        <v>0</v>
      </c>
      <c r="O145" s="800">
        <f t="shared" si="172"/>
        <v>0</v>
      </c>
      <c r="P145" s="800">
        <f t="shared" si="172"/>
        <v>0</v>
      </c>
      <c r="Q145" s="830">
        <f t="shared" si="172"/>
        <v>0</v>
      </c>
    </row>
    <row r="146" spans="1:17" ht="15.75" customHeight="1">
      <c r="A146" s="850">
        <v>8</v>
      </c>
      <c r="B146" s="803" t="s">
        <v>855</v>
      </c>
      <c r="C146" s="800" t="s">
        <v>858</v>
      </c>
      <c r="D146" s="802"/>
      <c r="E146" s="823"/>
      <c r="F146" s="831">
        <f t="shared" ref="F146:Q146" si="173">SUM(BY13:BY27)</f>
        <v>1687</v>
      </c>
      <c r="G146" s="802">
        <f t="shared" si="173"/>
        <v>1466</v>
      </c>
      <c r="H146" s="802">
        <f t="shared" si="173"/>
        <v>0</v>
      </c>
      <c r="I146" s="802">
        <f t="shared" si="173"/>
        <v>0</v>
      </c>
      <c r="J146" s="802">
        <f t="shared" si="173"/>
        <v>0</v>
      </c>
      <c r="K146" s="802">
        <f t="shared" si="173"/>
        <v>0</v>
      </c>
      <c r="L146" s="802">
        <f t="shared" si="173"/>
        <v>0</v>
      </c>
      <c r="M146" s="802">
        <f t="shared" si="173"/>
        <v>0</v>
      </c>
      <c r="N146" s="802">
        <f t="shared" si="173"/>
        <v>0</v>
      </c>
      <c r="O146" s="802">
        <f t="shared" si="173"/>
        <v>0</v>
      </c>
      <c r="P146" s="802">
        <f t="shared" si="173"/>
        <v>0</v>
      </c>
      <c r="Q146" s="832">
        <f t="shared" si="173"/>
        <v>0</v>
      </c>
    </row>
    <row r="147" spans="1:17" ht="15.75" customHeight="1">
      <c r="A147" s="850">
        <v>9</v>
      </c>
      <c r="B147" s="803" t="s">
        <v>964</v>
      </c>
      <c r="C147" s="800" t="s">
        <v>858</v>
      </c>
      <c r="D147" s="802"/>
      <c r="E147" s="824"/>
      <c r="F147" s="831">
        <f t="shared" ref="F147:Q147" si="174">BY28</f>
        <v>25</v>
      </c>
      <c r="G147" s="802">
        <f t="shared" si="174"/>
        <v>25</v>
      </c>
      <c r="H147" s="802">
        <f t="shared" si="174"/>
        <v>0</v>
      </c>
      <c r="I147" s="802">
        <f t="shared" si="174"/>
        <v>0</v>
      </c>
      <c r="J147" s="802">
        <f t="shared" si="174"/>
        <v>0</v>
      </c>
      <c r="K147" s="802">
        <f t="shared" si="174"/>
        <v>0</v>
      </c>
      <c r="L147" s="802">
        <f t="shared" si="174"/>
        <v>0</v>
      </c>
      <c r="M147" s="802">
        <f t="shared" si="174"/>
        <v>0</v>
      </c>
      <c r="N147" s="802">
        <f t="shared" si="174"/>
        <v>0</v>
      </c>
      <c r="O147" s="802">
        <f t="shared" si="174"/>
        <v>0</v>
      </c>
      <c r="P147" s="802">
        <f t="shared" si="174"/>
        <v>0</v>
      </c>
      <c r="Q147" s="832">
        <f t="shared" si="174"/>
        <v>0</v>
      </c>
    </row>
    <row r="148" spans="1:17" s="688" customFormat="1" ht="15.75" customHeight="1">
      <c r="A148" s="850">
        <v>10</v>
      </c>
      <c r="B148" s="803" t="s">
        <v>965</v>
      </c>
      <c r="C148" s="800" t="s">
        <v>858</v>
      </c>
      <c r="D148" s="802"/>
      <c r="E148" s="824"/>
      <c r="F148" s="831">
        <f t="shared" ref="F148:Q148" si="175">F131</f>
        <v>47</v>
      </c>
      <c r="G148" s="802">
        <f t="shared" si="175"/>
        <v>47</v>
      </c>
      <c r="H148" s="802">
        <f t="shared" si="175"/>
        <v>0</v>
      </c>
      <c r="I148" s="802">
        <f t="shared" si="175"/>
        <v>0</v>
      </c>
      <c r="J148" s="802">
        <f t="shared" si="175"/>
        <v>0</v>
      </c>
      <c r="K148" s="802">
        <f t="shared" si="175"/>
        <v>0</v>
      </c>
      <c r="L148" s="802">
        <f t="shared" si="175"/>
        <v>0</v>
      </c>
      <c r="M148" s="802">
        <f t="shared" si="175"/>
        <v>0</v>
      </c>
      <c r="N148" s="802">
        <f t="shared" si="175"/>
        <v>0</v>
      </c>
      <c r="O148" s="802">
        <f t="shared" si="175"/>
        <v>0</v>
      </c>
      <c r="P148" s="802">
        <f t="shared" si="175"/>
        <v>0</v>
      </c>
      <c r="Q148" s="832">
        <f t="shared" si="175"/>
        <v>0</v>
      </c>
    </row>
    <row r="149" spans="1:17" ht="15.75" customHeight="1">
      <c r="A149" s="850">
        <v>11</v>
      </c>
      <c r="B149" s="803" t="s">
        <v>817</v>
      </c>
      <c r="C149" s="800" t="s">
        <v>858</v>
      </c>
      <c r="D149" s="802"/>
      <c r="E149" s="824"/>
      <c r="F149" s="831">
        <f t="shared" ref="F149:Q149" si="176">SUM(BY31:BY34)</f>
        <v>622</v>
      </c>
      <c r="G149" s="802">
        <f t="shared" si="176"/>
        <v>560</v>
      </c>
      <c r="H149" s="802">
        <f t="shared" si="176"/>
        <v>0</v>
      </c>
      <c r="I149" s="802">
        <f t="shared" si="176"/>
        <v>0</v>
      </c>
      <c r="J149" s="802">
        <f t="shared" si="176"/>
        <v>0</v>
      </c>
      <c r="K149" s="802">
        <f t="shared" si="176"/>
        <v>0</v>
      </c>
      <c r="L149" s="802">
        <f t="shared" si="176"/>
        <v>0</v>
      </c>
      <c r="M149" s="802">
        <f t="shared" si="176"/>
        <v>0</v>
      </c>
      <c r="N149" s="802">
        <f t="shared" si="176"/>
        <v>0</v>
      </c>
      <c r="O149" s="802">
        <f t="shared" si="176"/>
        <v>0</v>
      </c>
      <c r="P149" s="802">
        <f t="shared" si="176"/>
        <v>0</v>
      </c>
      <c r="Q149" s="832">
        <f t="shared" si="176"/>
        <v>0</v>
      </c>
    </row>
    <row r="150" spans="1:17" ht="15.75" customHeight="1">
      <c r="A150" s="850">
        <v>12</v>
      </c>
      <c r="B150" s="803" t="s">
        <v>872</v>
      </c>
      <c r="C150" s="800" t="s">
        <v>858</v>
      </c>
      <c r="D150" s="802"/>
      <c r="E150" s="824"/>
      <c r="F150" s="829">
        <f t="shared" ref="F150:Q150" si="177">BY37</f>
        <v>192</v>
      </c>
      <c r="G150" s="800">
        <f t="shared" si="177"/>
        <v>196</v>
      </c>
      <c r="H150" s="800">
        <f t="shared" si="177"/>
        <v>0</v>
      </c>
      <c r="I150" s="800">
        <f t="shared" si="177"/>
        <v>0</v>
      </c>
      <c r="J150" s="800">
        <f t="shared" si="177"/>
        <v>0</v>
      </c>
      <c r="K150" s="800">
        <f t="shared" si="177"/>
        <v>0</v>
      </c>
      <c r="L150" s="800">
        <f t="shared" si="177"/>
        <v>0</v>
      </c>
      <c r="M150" s="800">
        <f t="shared" si="177"/>
        <v>0</v>
      </c>
      <c r="N150" s="800">
        <f t="shared" si="177"/>
        <v>0</v>
      </c>
      <c r="O150" s="800">
        <f t="shared" si="177"/>
        <v>0</v>
      </c>
      <c r="P150" s="800">
        <f t="shared" si="177"/>
        <v>0</v>
      </c>
      <c r="Q150" s="830">
        <f t="shared" si="177"/>
        <v>0</v>
      </c>
    </row>
    <row r="151" spans="1:17" ht="15.75" customHeight="1" thickBot="1">
      <c r="A151" s="851">
        <v>13</v>
      </c>
      <c r="B151" s="852" t="s">
        <v>963</v>
      </c>
      <c r="C151" s="853" t="s">
        <v>858</v>
      </c>
      <c r="D151" s="854"/>
      <c r="E151" s="855"/>
      <c r="F151" s="856">
        <f>SUM(F146:F148)</f>
        <v>1759</v>
      </c>
      <c r="G151" s="854">
        <f t="shared" ref="G151" si="178">SUM(G146:G148)</f>
        <v>1538</v>
      </c>
      <c r="H151" s="854">
        <f t="shared" ref="H151:Q151" si="179">SUM(H146:H148)</f>
        <v>0</v>
      </c>
      <c r="I151" s="854">
        <f t="shared" si="179"/>
        <v>0</v>
      </c>
      <c r="J151" s="854">
        <f t="shared" si="179"/>
        <v>0</v>
      </c>
      <c r="K151" s="854">
        <f t="shared" si="179"/>
        <v>0</v>
      </c>
      <c r="L151" s="854">
        <f t="shared" si="179"/>
        <v>0</v>
      </c>
      <c r="M151" s="854">
        <f t="shared" si="179"/>
        <v>0</v>
      </c>
      <c r="N151" s="854">
        <f t="shared" si="179"/>
        <v>0</v>
      </c>
      <c r="O151" s="854">
        <f t="shared" si="179"/>
        <v>0</v>
      </c>
      <c r="P151" s="854">
        <f t="shared" si="179"/>
        <v>0</v>
      </c>
      <c r="Q151" s="857">
        <f t="shared" si="179"/>
        <v>0</v>
      </c>
    </row>
    <row r="152" spans="1:17" ht="15.75" customHeight="1">
      <c r="A152" s="845">
        <v>1</v>
      </c>
      <c r="B152" s="843" t="s">
        <v>980</v>
      </c>
      <c r="C152" s="842" t="s">
        <v>978</v>
      </c>
      <c r="D152" s="842"/>
      <c r="E152" s="844"/>
      <c r="F152" s="845">
        <f t="shared" ref="F152:Q152" si="180">CL38</f>
        <v>279</v>
      </c>
      <c r="G152" s="842">
        <f t="shared" si="180"/>
        <v>277</v>
      </c>
      <c r="H152" s="842">
        <f t="shared" si="180"/>
        <v>0</v>
      </c>
      <c r="I152" s="842">
        <f t="shared" si="180"/>
        <v>0</v>
      </c>
      <c r="J152" s="842">
        <f t="shared" si="180"/>
        <v>0</v>
      </c>
      <c r="K152" s="842">
        <f t="shared" si="180"/>
        <v>0</v>
      </c>
      <c r="L152" s="842">
        <f t="shared" si="180"/>
        <v>0</v>
      </c>
      <c r="M152" s="842">
        <f t="shared" si="180"/>
        <v>0</v>
      </c>
      <c r="N152" s="842">
        <f t="shared" si="180"/>
        <v>0</v>
      </c>
      <c r="O152" s="842">
        <f t="shared" si="180"/>
        <v>0</v>
      </c>
      <c r="P152" s="842">
        <f t="shared" si="180"/>
        <v>0</v>
      </c>
      <c r="Q152" s="846">
        <f t="shared" si="180"/>
        <v>0</v>
      </c>
    </row>
    <row r="153" spans="1:17" ht="15.75" customHeight="1">
      <c r="A153" s="829">
        <v>2</v>
      </c>
      <c r="B153" s="804" t="s">
        <v>832</v>
      </c>
      <c r="C153" s="800" t="s">
        <v>978</v>
      </c>
      <c r="D153" s="802"/>
      <c r="E153" s="824"/>
      <c r="F153" s="831">
        <f t="shared" ref="F153:Q153" si="181">SUM(CL31:CL34)</f>
        <v>32</v>
      </c>
      <c r="G153" s="802">
        <f t="shared" si="181"/>
        <v>30</v>
      </c>
      <c r="H153" s="802">
        <f t="shared" si="181"/>
        <v>0</v>
      </c>
      <c r="I153" s="802">
        <f t="shared" si="181"/>
        <v>0</v>
      </c>
      <c r="J153" s="802">
        <f t="shared" si="181"/>
        <v>0</v>
      </c>
      <c r="K153" s="802">
        <f t="shared" si="181"/>
        <v>0</v>
      </c>
      <c r="L153" s="802">
        <f t="shared" si="181"/>
        <v>0</v>
      </c>
      <c r="M153" s="802">
        <f t="shared" si="181"/>
        <v>0</v>
      </c>
      <c r="N153" s="802">
        <f t="shared" si="181"/>
        <v>0</v>
      </c>
      <c r="O153" s="802">
        <f t="shared" si="181"/>
        <v>0</v>
      </c>
      <c r="P153" s="802">
        <f t="shared" si="181"/>
        <v>0</v>
      </c>
      <c r="Q153" s="832">
        <f t="shared" si="181"/>
        <v>0</v>
      </c>
    </row>
    <row r="154" spans="1:17" ht="15.75" customHeight="1">
      <c r="A154" s="829">
        <v>3</v>
      </c>
      <c r="B154" s="804" t="s">
        <v>981</v>
      </c>
      <c r="C154" s="800" t="s">
        <v>978</v>
      </c>
      <c r="D154" s="802"/>
      <c r="E154" s="823"/>
      <c r="F154" s="831">
        <f>F152-F153</f>
        <v>247</v>
      </c>
      <c r="G154" s="802">
        <f t="shared" ref="G154:Q154" si="182">G152-G153</f>
        <v>247</v>
      </c>
      <c r="H154" s="802">
        <f t="shared" si="182"/>
        <v>0</v>
      </c>
      <c r="I154" s="802">
        <f t="shared" si="182"/>
        <v>0</v>
      </c>
      <c r="J154" s="802">
        <f t="shared" si="182"/>
        <v>0</v>
      </c>
      <c r="K154" s="802">
        <f t="shared" si="182"/>
        <v>0</v>
      </c>
      <c r="L154" s="802">
        <f t="shared" si="182"/>
        <v>0</v>
      </c>
      <c r="M154" s="802">
        <f t="shared" si="182"/>
        <v>0</v>
      </c>
      <c r="N154" s="802">
        <f t="shared" si="182"/>
        <v>0</v>
      </c>
      <c r="O154" s="802">
        <f t="shared" si="182"/>
        <v>0</v>
      </c>
      <c r="P154" s="802">
        <f t="shared" si="182"/>
        <v>0</v>
      </c>
      <c r="Q154" s="832">
        <f t="shared" si="182"/>
        <v>0</v>
      </c>
    </row>
    <row r="155" spans="1:17" ht="15.75" customHeight="1">
      <c r="A155" s="829">
        <v>4</v>
      </c>
      <c r="B155" s="805" t="s">
        <v>969</v>
      </c>
      <c r="C155" s="800" t="s">
        <v>978</v>
      </c>
      <c r="D155" s="806"/>
      <c r="E155" s="825"/>
      <c r="F155" s="831">
        <f t="shared" ref="F155:Q155" si="183">SUM(F135:F136)</f>
        <v>21</v>
      </c>
      <c r="G155" s="802">
        <f t="shared" si="183"/>
        <v>26</v>
      </c>
      <c r="H155" s="802">
        <f t="shared" si="183"/>
        <v>0</v>
      </c>
      <c r="I155" s="802">
        <f t="shared" si="183"/>
        <v>0</v>
      </c>
      <c r="J155" s="802">
        <f t="shared" si="183"/>
        <v>0</v>
      </c>
      <c r="K155" s="802">
        <f t="shared" si="183"/>
        <v>0</v>
      </c>
      <c r="L155" s="802">
        <f t="shared" si="183"/>
        <v>0</v>
      </c>
      <c r="M155" s="802">
        <f t="shared" si="183"/>
        <v>0</v>
      </c>
      <c r="N155" s="802">
        <f t="shared" si="183"/>
        <v>0</v>
      </c>
      <c r="O155" s="802">
        <f t="shared" si="183"/>
        <v>0</v>
      </c>
      <c r="P155" s="802">
        <f t="shared" si="183"/>
        <v>0</v>
      </c>
      <c r="Q155" s="832">
        <f t="shared" si="183"/>
        <v>0</v>
      </c>
    </row>
    <row r="156" spans="1:17" ht="15.75" customHeight="1" thickBot="1">
      <c r="A156" s="863">
        <v>5</v>
      </c>
      <c r="B156" s="864" t="s">
        <v>979</v>
      </c>
      <c r="C156" s="853" t="s">
        <v>978</v>
      </c>
      <c r="D156" s="834"/>
      <c r="E156" s="865"/>
      <c r="F156" s="833"/>
      <c r="G156" s="834"/>
      <c r="H156" s="834"/>
      <c r="I156" s="834"/>
      <c r="J156" s="834"/>
      <c r="K156" s="834"/>
      <c r="L156" s="834"/>
      <c r="M156" s="834"/>
      <c r="N156" s="834"/>
      <c r="O156" s="834"/>
      <c r="P156" s="834"/>
      <c r="Q156" s="835"/>
    </row>
    <row r="157" spans="1:17" s="760" customFormat="1" ht="15.75" customHeight="1">
      <c r="A157" s="90"/>
      <c r="B157" s="790"/>
      <c r="C157" s="90"/>
    </row>
    <row r="158" spans="1:17" ht="15.75" customHeight="1" thickBot="1">
      <c r="A158" s="79" t="s">
        <v>3</v>
      </c>
      <c r="B158" s="80" t="s">
        <v>5</v>
      </c>
      <c r="C158" s="81" t="s">
        <v>86</v>
      </c>
      <c r="D158" s="80" t="s">
        <v>818</v>
      </c>
      <c r="E158" s="82" t="s">
        <v>889</v>
      </c>
      <c r="F158" s="82" t="s">
        <v>90</v>
      </c>
      <c r="G158" s="82" t="s">
        <v>91</v>
      </c>
      <c r="H158" s="82" t="s">
        <v>92</v>
      </c>
      <c r="I158" s="82" t="s">
        <v>93</v>
      </c>
      <c r="J158" s="82" t="s">
        <v>94</v>
      </c>
      <c r="K158" s="82" t="s">
        <v>95</v>
      </c>
      <c r="L158" s="82" t="s">
        <v>96</v>
      </c>
      <c r="M158" s="82" t="s">
        <v>97</v>
      </c>
      <c r="N158" s="82" t="s">
        <v>98</v>
      </c>
      <c r="O158" s="82" t="s">
        <v>99</v>
      </c>
      <c r="P158" s="82" t="s">
        <v>100</v>
      </c>
      <c r="Q158" s="82" t="s">
        <v>101</v>
      </c>
    </row>
    <row r="159" spans="1:17" s="688" customFormat="1" ht="15.75" customHeight="1">
      <c r="A159" s="689">
        <v>1</v>
      </c>
      <c r="B159" s="763" t="s">
        <v>814</v>
      </c>
      <c r="C159" s="915" t="s">
        <v>969</v>
      </c>
      <c r="D159" s="769"/>
      <c r="E159" s="771">
        <f>SUM(F159:Q159)</f>
        <v>2165</v>
      </c>
      <c r="F159" s="783">
        <f t="shared" ref="F159:Q159" si="184">SUM(F127,F128,F129)</f>
        <v>1081</v>
      </c>
      <c r="G159" s="314">
        <f t="shared" si="184"/>
        <v>1084</v>
      </c>
      <c r="H159" s="314">
        <f t="shared" si="184"/>
        <v>0</v>
      </c>
      <c r="I159" s="314">
        <f t="shared" si="184"/>
        <v>0</v>
      </c>
      <c r="J159" s="314">
        <f t="shared" si="184"/>
        <v>0</v>
      </c>
      <c r="K159" s="314">
        <f t="shared" si="184"/>
        <v>0</v>
      </c>
      <c r="L159" s="314">
        <f t="shared" si="184"/>
        <v>0</v>
      </c>
      <c r="M159" s="314">
        <f t="shared" si="184"/>
        <v>0</v>
      </c>
      <c r="N159" s="314">
        <f t="shared" si="184"/>
        <v>0</v>
      </c>
      <c r="O159" s="314">
        <f t="shared" si="184"/>
        <v>0</v>
      </c>
      <c r="P159" s="314">
        <f t="shared" si="184"/>
        <v>0</v>
      </c>
      <c r="Q159" s="784">
        <f t="shared" si="184"/>
        <v>0</v>
      </c>
    </row>
    <row r="160" spans="1:17" s="688" customFormat="1" ht="15.75" customHeight="1">
      <c r="A160" s="689">
        <v>2</v>
      </c>
      <c r="B160" s="758" t="s">
        <v>815</v>
      </c>
      <c r="C160" s="916"/>
      <c r="D160" s="767"/>
      <c r="E160" s="772">
        <f t="shared" ref="E160:E179" si="185">SUM(F160:Q160)</f>
        <v>119</v>
      </c>
      <c r="F160" s="770">
        <f t="shared" ref="F160:Q160" si="186">F142</f>
        <v>65</v>
      </c>
      <c r="G160" s="304">
        <f t="shared" si="186"/>
        <v>54</v>
      </c>
      <c r="H160" s="304">
        <f t="shared" si="186"/>
        <v>0</v>
      </c>
      <c r="I160" s="304">
        <f t="shared" si="186"/>
        <v>0</v>
      </c>
      <c r="J160" s="304">
        <f t="shared" si="186"/>
        <v>0</v>
      </c>
      <c r="K160" s="304">
        <f t="shared" si="186"/>
        <v>0</v>
      </c>
      <c r="L160" s="304">
        <f t="shared" si="186"/>
        <v>0</v>
      </c>
      <c r="M160" s="304">
        <f t="shared" si="186"/>
        <v>0</v>
      </c>
      <c r="N160" s="304">
        <f t="shared" si="186"/>
        <v>0</v>
      </c>
      <c r="O160" s="304">
        <f t="shared" si="186"/>
        <v>0</v>
      </c>
      <c r="P160" s="304">
        <f t="shared" si="186"/>
        <v>0</v>
      </c>
      <c r="Q160" s="306">
        <f t="shared" si="186"/>
        <v>0</v>
      </c>
    </row>
    <row r="161" spans="1:17" s="688" customFormat="1" ht="15.75" customHeight="1" thickBot="1">
      <c r="A161" s="761">
        <v>3</v>
      </c>
      <c r="B161" s="759" t="s">
        <v>778</v>
      </c>
      <c r="C161" s="917"/>
      <c r="D161" s="768"/>
      <c r="E161" s="774">
        <f t="shared" si="185"/>
        <v>111</v>
      </c>
      <c r="F161" s="775">
        <f>F143</f>
        <v>45</v>
      </c>
      <c r="G161" s="776">
        <f>G143</f>
        <v>66</v>
      </c>
      <c r="H161" s="776">
        <f t="shared" ref="H161:Q161" si="187">H143-H145</f>
        <v>0</v>
      </c>
      <c r="I161" s="776">
        <f t="shared" si="187"/>
        <v>0</v>
      </c>
      <c r="J161" s="776">
        <f t="shared" si="187"/>
        <v>0</v>
      </c>
      <c r="K161" s="776">
        <f t="shared" si="187"/>
        <v>0</v>
      </c>
      <c r="L161" s="776">
        <f t="shared" si="187"/>
        <v>0</v>
      </c>
      <c r="M161" s="776">
        <f t="shared" si="187"/>
        <v>0</v>
      </c>
      <c r="N161" s="776">
        <f t="shared" si="187"/>
        <v>0</v>
      </c>
      <c r="O161" s="776">
        <f t="shared" si="187"/>
        <v>0</v>
      </c>
      <c r="P161" s="776">
        <f t="shared" si="187"/>
        <v>0</v>
      </c>
      <c r="Q161" s="785">
        <f t="shared" si="187"/>
        <v>0</v>
      </c>
    </row>
    <row r="162" spans="1:17" s="688" customFormat="1" ht="15.75" customHeight="1">
      <c r="A162" s="761">
        <v>4</v>
      </c>
      <c r="B162" s="763" t="s">
        <v>776</v>
      </c>
      <c r="C162" s="915" t="s">
        <v>973</v>
      </c>
      <c r="D162" s="764"/>
      <c r="E162" s="771">
        <f t="shared" si="185"/>
        <v>566</v>
      </c>
      <c r="F162" s="546">
        <f t="shared" ref="F162:Q162" si="188">SUM(F132:F133)</f>
        <v>335</v>
      </c>
      <c r="G162" s="520">
        <f t="shared" si="188"/>
        <v>231</v>
      </c>
      <c r="H162" s="520">
        <f t="shared" si="188"/>
        <v>0</v>
      </c>
      <c r="I162" s="520">
        <f t="shared" si="188"/>
        <v>0</v>
      </c>
      <c r="J162" s="520">
        <f t="shared" si="188"/>
        <v>0</v>
      </c>
      <c r="K162" s="520">
        <f t="shared" si="188"/>
        <v>0</v>
      </c>
      <c r="L162" s="520">
        <f t="shared" si="188"/>
        <v>0</v>
      </c>
      <c r="M162" s="520">
        <f t="shared" si="188"/>
        <v>0</v>
      </c>
      <c r="N162" s="520">
        <f t="shared" si="188"/>
        <v>0</v>
      </c>
      <c r="O162" s="520">
        <f t="shared" si="188"/>
        <v>0</v>
      </c>
      <c r="P162" s="520">
        <f t="shared" si="188"/>
        <v>0</v>
      </c>
      <c r="Q162" s="547">
        <f t="shared" si="188"/>
        <v>0</v>
      </c>
    </row>
    <row r="163" spans="1:17" s="688" customFormat="1" ht="15.75" customHeight="1">
      <c r="A163" s="761">
        <v>5</v>
      </c>
      <c r="B163" s="758" t="s">
        <v>769</v>
      </c>
      <c r="C163" s="916"/>
      <c r="D163" s="521"/>
      <c r="E163" s="772">
        <f t="shared" si="185"/>
        <v>441</v>
      </c>
      <c r="F163" s="549">
        <f t="shared" ref="F163:Q163" si="189">F144</f>
        <v>288</v>
      </c>
      <c r="G163" s="497">
        <f t="shared" si="189"/>
        <v>153</v>
      </c>
      <c r="H163" s="497">
        <f t="shared" si="189"/>
        <v>0</v>
      </c>
      <c r="I163" s="497">
        <f t="shared" si="189"/>
        <v>0</v>
      </c>
      <c r="J163" s="497">
        <f t="shared" si="189"/>
        <v>0</v>
      </c>
      <c r="K163" s="497">
        <f t="shared" si="189"/>
        <v>0</v>
      </c>
      <c r="L163" s="497">
        <f t="shared" si="189"/>
        <v>0</v>
      </c>
      <c r="M163" s="497">
        <f t="shared" si="189"/>
        <v>0</v>
      </c>
      <c r="N163" s="497">
        <f t="shared" si="189"/>
        <v>0</v>
      </c>
      <c r="O163" s="497">
        <f t="shared" si="189"/>
        <v>0</v>
      </c>
      <c r="P163" s="497">
        <f t="shared" si="189"/>
        <v>0</v>
      </c>
      <c r="Q163" s="536">
        <f t="shared" si="189"/>
        <v>0</v>
      </c>
    </row>
    <row r="164" spans="1:17" s="688" customFormat="1" ht="15.75" customHeight="1" thickBot="1">
      <c r="A164" s="761">
        <v>6</v>
      </c>
      <c r="B164" s="759" t="s">
        <v>312</v>
      </c>
      <c r="C164" s="917"/>
      <c r="D164" s="765"/>
      <c r="E164" s="773">
        <f t="shared" si="185"/>
        <v>125</v>
      </c>
      <c r="F164" s="551">
        <f>IF(F162&gt;0,F162-F163,0)</f>
        <v>47</v>
      </c>
      <c r="G164" s="522">
        <f t="shared" ref="G164:Q164" si="190">IF(G162&gt;0,G162-G163,0)</f>
        <v>78</v>
      </c>
      <c r="H164" s="522">
        <f t="shared" si="190"/>
        <v>0</v>
      </c>
      <c r="I164" s="522">
        <f t="shared" si="190"/>
        <v>0</v>
      </c>
      <c r="J164" s="522">
        <f t="shared" si="190"/>
        <v>0</v>
      </c>
      <c r="K164" s="522">
        <f t="shared" si="190"/>
        <v>0</v>
      </c>
      <c r="L164" s="522">
        <f t="shared" si="190"/>
        <v>0</v>
      </c>
      <c r="M164" s="522">
        <f t="shared" si="190"/>
        <v>0</v>
      </c>
      <c r="N164" s="522">
        <f t="shared" si="190"/>
        <v>0</v>
      </c>
      <c r="O164" s="522">
        <f t="shared" si="190"/>
        <v>0</v>
      </c>
      <c r="P164" s="522">
        <f t="shared" si="190"/>
        <v>0</v>
      </c>
      <c r="Q164" s="540">
        <f t="shared" si="190"/>
        <v>0</v>
      </c>
    </row>
    <row r="165" spans="1:17" s="688" customFormat="1" ht="15.75" customHeight="1">
      <c r="A165" s="761">
        <v>7</v>
      </c>
      <c r="B165" s="762" t="s">
        <v>776</v>
      </c>
      <c r="C165" s="916" t="s">
        <v>974</v>
      </c>
      <c r="D165" s="521"/>
      <c r="E165" s="777">
        <f t="shared" si="185"/>
        <v>3867</v>
      </c>
      <c r="F165" s="778">
        <f t="shared" ref="F165:Q165" si="191">F130</f>
        <v>2022</v>
      </c>
      <c r="G165" s="779">
        <f t="shared" si="191"/>
        <v>1845</v>
      </c>
      <c r="H165" s="779">
        <f t="shared" si="191"/>
        <v>0</v>
      </c>
      <c r="I165" s="779">
        <f t="shared" si="191"/>
        <v>0</v>
      </c>
      <c r="J165" s="779">
        <f t="shared" si="191"/>
        <v>0</v>
      </c>
      <c r="K165" s="779">
        <f t="shared" si="191"/>
        <v>0</v>
      </c>
      <c r="L165" s="779">
        <f t="shared" si="191"/>
        <v>0</v>
      </c>
      <c r="M165" s="779">
        <f t="shared" si="191"/>
        <v>0</v>
      </c>
      <c r="N165" s="779">
        <f t="shared" si="191"/>
        <v>0</v>
      </c>
      <c r="O165" s="779">
        <f t="shared" si="191"/>
        <v>0</v>
      </c>
      <c r="P165" s="779">
        <f t="shared" si="191"/>
        <v>0</v>
      </c>
      <c r="Q165" s="786">
        <f t="shared" si="191"/>
        <v>0</v>
      </c>
    </row>
    <row r="166" spans="1:17" s="688" customFormat="1" ht="15.75" customHeight="1">
      <c r="A166" s="761">
        <v>8</v>
      </c>
      <c r="B166" s="758" t="s">
        <v>769</v>
      </c>
      <c r="C166" s="916"/>
      <c r="D166" s="521"/>
      <c r="E166" s="772">
        <f t="shared" si="185"/>
        <v>3297</v>
      </c>
      <c r="F166" s="549">
        <f t="shared" ref="F166:Q166" si="192">SUM(F146:F148)</f>
        <v>1759</v>
      </c>
      <c r="G166" s="497">
        <f t="shared" si="192"/>
        <v>1538</v>
      </c>
      <c r="H166" s="497">
        <f t="shared" si="192"/>
        <v>0</v>
      </c>
      <c r="I166" s="497">
        <f t="shared" si="192"/>
        <v>0</v>
      </c>
      <c r="J166" s="497">
        <f t="shared" si="192"/>
        <v>0</v>
      </c>
      <c r="K166" s="497">
        <f t="shared" si="192"/>
        <v>0</v>
      </c>
      <c r="L166" s="497">
        <f t="shared" si="192"/>
        <v>0</v>
      </c>
      <c r="M166" s="497">
        <f t="shared" si="192"/>
        <v>0</v>
      </c>
      <c r="N166" s="497">
        <f t="shared" si="192"/>
        <v>0</v>
      </c>
      <c r="O166" s="497">
        <f t="shared" si="192"/>
        <v>0</v>
      </c>
      <c r="P166" s="497">
        <f t="shared" si="192"/>
        <v>0</v>
      </c>
      <c r="Q166" s="536">
        <f t="shared" si="192"/>
        <v>0</v>
      </c>
    </row>
    <row r="167" spans="1:17" s="688" customFormat="1" ht="15.75" customHeight="1" thickBot="1">
      <c r="A167" s="761">
        <v>9</v>
      </c>
      <c r="B167" s="766" t="s">
        <v>312</v>
      </c>
      <c r="C167" s="916"/>
      <c r="D167" s="521"/>
      <c r="E167" s="774">
        <f t="shared" si="185"/>
        <v>570</v>
      </c>
      <c r="F167" s="780">
        <f>IF(F165&gt;0,F165-F166,0)</f>
        <v>263</v>
      </c>
      <c r="G167" s="781">
        <f t="shared" ref="G167:Q167" si="193">IF(G165&gt;0,G165-G166,0)</f>
        <v>307</v>
      </c>
      <c r="H167" s="781">
        <f t="shared" si="193"/>
        <v>0</v>
      </c>
      <c r="I167" s="781">
        <f t="shared" si="193"/>
        <v>0</v>
      </c>
      <c r="J167" s="781">
        <f t="shared" si="193"/>
        <v>0</v>
      </c>
      <c r="K167" s="781">
        <f t="shared" si="193"/>
        <v>0</v>
      </c>
      <c r="L167" s="781">
        <f t="shared" si="193"/>
        <v>0</v>
      </c>
      <c r="M167" s="781">
        <f t="shared" si="193"/>
        <v>0</v>
      </c>
      <c r="N167" s="781">
        <f t="shared" si="193"/>
        <v>0</v>
      </c>
      <c r="O167" s="781">
        <f t="shared" si="193"/>
        <v>0</v>
      </c>
      <c r="P167" s="781">
        <f t="shared" si="193"/>
        <v>0</v>
      </c>
      <c r="Q167" s="787">
        <f t="shared" si="193"/>
        <v>0</v>
      </c>
    </row>
    <row r="168" spans="1:17" s="688" customFormat="1" ht="15.75" customHeight="1">
      <c r="A168" s="761">
        <v>10</v>
      </c>
      <c r="B168" s="763" t="s">
        <v>776</v>
      </c>
      <c r="C168" s="915" t="s">
        <v>975</v>
      </c>
      <c r="D168" s="764"/>
      <c r="E168" s="771">
        <f t="shared" si="185"/>
        <v>1185</v>
      </c>
      <c r="F168" s="546">
        <f t="shared" ref="F168:Q168" si="194">F134</f>
        <v>624</v>
      </c>
      <c r="G168" s="520">
        <f t="shared" si="194"/>
        <v>561</v>
      </c>
      <c r="H168" s="520">
        <f t="shared" si="194"/>
        <v>0</v>
      </c>
      <c r="I168" s="520">
        <f t="shared" si="194"/>
        <v>0</v>
      </c>
      <c r="J168" s="520">
        <f t="shared" si="194"/>
        <v>0</v>
      </c>
      <c r="K168" s="520">
        <f t="shared" si="194"/>
        <v>0</v>
      </c>
      <c r="L168" s="520">
        <f t="shared" si="194"/>
        <v>0</v>
      </c>
      <c r="M168" s="520">
        <f t="shared" si="194"/>
        <v>0</v>
      </c>
      <c r="N168" s="520">
        <f t="shared" si="194"/>
        <v>0</v>
      </c>
      <c r="O168" s="520">
        <f t="shared" si="194"/>
        <v>0</v>
      </c>
      <c r="P168" s="520">
        <f t="shared" si="194"/>
        <v>0</v>
      </c>
      <c r="Q168" s="547">
        <f t="shared" si="194"/>
        <v>0</v>
      </c>
    </row>
    <row r="169" spans="1:17" s="688" customFormat="1" ht="15.75" customHeight="1">
      <c r="A169" s="761">
        <v>11</v>
      </c>
      <c r="B169" s="758" t="s">
        <v>769</v>
      </c>
      <c r="C169" s="916"/>
      <c r="D169" s="521"/>
      <c r="E169" s="772">
        <f t="shared" si="185"/>
        <v>1182</v>
      </c>
      <c r="F169" s="549">
        <f t="shared" ref="F169:Q169" si="195">F149</f>
        <v>622</v>
      </c>
      <c r="G169" s="497">
        <f t="shared" si="195"/>
        <v>560</v>
      </c>
      <c r="H169" s="497">
        <f t="shared" si="195"/>
        <v>0</v>
      </c>
      <c r="I169" s="497">
        <f t="shared" si="195"/>
        <v>0</v>
      </c>
      <c r="J169" s="497">
        <f t="shared" si="195"/>
        <v>0</v>
      </c>
      <c r="K169" s="497">
        <f t="shared" si="195"/>
        <v>0</v>
      </c>
      <c r="L169" s="497">
        <f t="shared" si="195"/>
        <v>0</v>
      </c>
      <c r="M169" s="497">
        <f t="shared" si="195"/>
        <v>0</v>
      </c>
      <c r="N169" s="497">
        <f t="shared" si="195"/>
        <v>0</v>
      </c>
      <c r="O169" s="497">
        <f t="shared" si="195"/>
        <v>0</v>
      </c>
      <c r="P169" s="497">
        <f t="shared" si="195"/>
        <v>0</v>
      </c>
      <c r="Q169" s="536">
        <f t="shared" si="195"/>
        <v>0</v>
      </c>
    </row>
    <row r="170" spans="1:17" ht="15.75" customHeight="1" thickBot="1">
      <c r="A170" s="761">
        <v>12</v>
      </c>
      <c r="B170" s="759" t="s">
        <v>312</v>
      </c>
      <c r="C170" s="917"/>
      <c r="D170" s="768"/>
      <c r="E170" s="773">
        <f t="shared" si="185"/>
        <v>3</v>
      </c>
      <c r="F170" s="551">
        <f>IF(F168&gt;0,F168-F169,0)</f>
        <v>2</v>
      </c>
      <c r="G170" s="522">
        <f t="shared" ref="G170:Q170" si="196">IF(G168&gt;0,G168-G169,0)</f>
        <v>1</v>
      </c>
      <c r="H170" s="522">
        <f t="shared" si="196"/>
        <v>0</v>
      </c>
      <c r="I170" s="522">
        <f t="shared" si="196"/>
        <v>0</v>
      </c>
      <c r="J170" s="522">
        <f t="shared" si="196"/>
        <v>0</v>
      </c>
      <c r="K170" s="522">
        <f t="shared" si="196"/>
        <v>0</v>
      </c>
      <c r="L170" s="522">
        <f t="shared" si="196"/>
        <v>0</v>
      </c>
      <c r="M170" s="522">
        <f t="shared" si="196"/>
        <v>0</v>
      </c>
      <c r="N170" s="522">
        <f t="shared" si="196"/>
        <v>0</v>
      </c>
      <c r="O170" s="522">
        <f t="shared" si="196"/>
        <v>0</v>
      </c>
      <c r="P170" s="522">
        <f t="shared" si="196"/>
        <v>0</v>
      </c>
      <c r="Q170" s="540">
        <f t="shared" si="196"/>
        <v>0</v>
      </c>
    </row>
    <row r="171" spans="1:17" s="688" customFormat="1" ht="15.75" customHeight="1">
      <c r="A171" s="761">
        <v>13</v>
      </c>
      <c r="B171" s="762" t="s">
        <v>776</v>
      </c>
      <c r="C171" s="916" t="s">
        <v>967</v>
      </c>
      <c r="D171" s="767"/>
      <c r="E171" s="777">
        <f t="shared" si="185"/>
        <v>6163</v>
      </c>
      <c r="F171" s="782">
        <f t="shared" ref="F171:Q171" si="197">SUM(F125,F126,F127,F143)</f>
        <v>3130</v>
      </c>
      <c r="G171" s="625">
        <f t="shared" si="197"/>
        <v>3033</v>
      </c>
      <c r="H171" s="625">
        <f t="shared" si="197"/>
        <v>0</v>
      </c>
      <c r="I171" s="625">
        <f t="shared" si="197"/>
        <v>0</v>
      </c>
      <c r="J171" s="625">
        <f t="shared" si="197"/>
        <v>0</v>
      </c>
      <c r="K171" s="625">
        <f t="shared" si="197"/>
        <v>0</v>
      </c>
      <c r="L171" s="625">
        <f t="shared" si="197"/>
        <v>0</v>
      </c>
      <c r="M171" s="625">
        <f t="shared" si="197"/>
        <v>0</v>
      </c>
      <c r="N171" s="625">
        <f t="shared" si="197"/>
        <v>0</v>
      </c>
      <c r="O171" s="625">
        <f t="shared" si="197"/>
        <v>0</v>
      </c>
      <c r="P171" s="625">
        <f t="shared" si="197"/>
        <v>0</v>
      </c>
      <c r="Q171" s="788">
        <f t="shared" si="197"/>
        <v>0</v>
      </c>
    </row>
    <row r="172" spans="1:17" s="688" customFormat="1" ht="15.75" customHeight="1">
      <c r="A172" s="761">
        <v>14</v>
      </c>
      <c r="B172" s="758" t="s">
        <v>769</v>
      </c>
      <c r="C172" s="916"/>
      <c r="D172" s="767"/>
      <c r="E172" s="772">
        <f t="shared" si="185"/>
        <v>5796</v>
      </c>
      <c r="F172" s="770">
        <f t="shared" ref="F172:Q172" si="198">SUM(F141,F143,F145,F146,F147,F148)</f>
        <v>3013</v>
      </c>
      <c r="G172" s="304">
        <f t="shared" si="198"/>
        <v>2783</v>
      </c>
      <c r="H172" s="304">
        <f t="shared" si="198"/>
        <v>0</v>
      </c>
      <c r="I172" s="304">
        <f t="shared" si="198"/>
        <v>0</v>
      </c>
      <c r="J172" s="304">
        <f t="shared" si="198"/>
        <v>0</v>
      </c>
      <c r="K172" s="304">
        <f t="shared" si="198"/>
        <v>0</v>
      </c>
      <c r="L172" s="304">
        <f t="shared" si="198"/>
        <v>0</v>
      </c>
      <c r="M172" s="304">
        <f t="shared" si="198"/>
        <v>0</v>
      </c>
      <c r="N172" s="304">
        <f t="shared" si="198"/>
        <v>0</v>
      </c>
      <c r="O172" s="304">
        <f t="shared" si="198"/>
        <v>0</v>
      </c>
      <c r="P172" s="304">
        <f t="shared" si="198"/>
        <v>0</v>
      </c>
      <c r="Q172" s="306">
        <f t="shared" si="198"/>
        <v>0</v>
      </c>
    </row>
    <row r="173" spans="1:17" s="688" customFormat="1" ht="15.75" customHeight="1" thickBot="1">
      <c r="A173" s="761">
        <v>15</v>
      </c>
      <c r="B173" s="766" t="s">
        <v>312</v>
      </c>
      <c r="C173" s="916"/>
      <c r="D173" s="767"/>
      <c r="E173" s="774">
        <f t="shared" si="185"/>
        <v>367</v>
      </c>
      <c r="F173" s="780">
        <f>IF(F171&gt;0,F171-F172,0)</f>
        <v>117</v>
      </c>
      <c r="G173" s="781">
        <f t="shared" ref="G173:Q173" si="199">IF(G171&gt;0,G171-G172,0)</f>
        <v>250</v>
      </c>
      <c r="H173" s="781">
        <f t="shared" si="199"/>
        <v>0</v>
      </c>
      <c r="I173" s="781">
        <f t="shared" si="199"/>
        <v>0</v>
      </c>
      <c r="J173" s="781">
        <f t="shared" si="199"/>
        <v>0</v>
      </c>
      <c r="K173" s="781">
        <f t="shared" si="199"/>
        <v>0</v>
      </c>
      <c r="L173" s="781">
        <f t="shared" si="199"/>
        <v>0</v>
      </c>
      <c r="M173" s="781">
        <f t="shared" si="199"/>
        <v>0</v>
      </c>
      <c r="N173" s="781">
        <f t="shared" si="199"/>
        <v>0</v>
      </c>
      <c r="O173" s="781">
        <f t="shared" si="199"/>
        <v>0</v>
      </c>
      <c r="P173" s="781">
        <f t="shared" si="199"/>
        <v>0</v>
      </c>
      <c r="Q173" s="787">
        <f t="shared" si="199"/>
        <v>0</v>
      </c>
    </row>
    <row r="174" spans="1:17" s="755" customFormat="1" ht="15.75" customHeight="1">
      <c r="A174" s="761">
        <v>16</v>
      </c>
      <c r="B174" s="308" t="s">
        <v>976</v>
      </c>
      <c r="C174" s="915"/>
      <c r="D174" s="769"/>
      <c r="E174" s="771">
        <f t="shared" si="185"/>
        <v>10062</v>
      </c>
      <c r="F174" s="783">
        <f>Meter!E133</f>
        <v>4165</v>
      </c>
      <c r="G174" s="314">
        <f>Meter!F133</f>
        <v>4017</v>
      </c>
      <c r="H174" s="314">
        <f>Meter!G133</f>
        <v>1880</v>
      </c>
      <c r="I174" s="314">
        <f>Meter!H133</f>
        <v>0</v>
      </c>
      <c r="J174" s="314">
        <f>Meter!I133</f>
        <v>0</v>
      </c>
      <c r="K174" s="314">
        <f>Meter!J133</f>
        <v>0</v>
      </c>
      <c r="L174" s="314">
        <f>Meter!K133</f>
        <v>0</v>
      </c>
      <c r="M174" s="314">
        <f>Meter!L133</f>
        <v>0</v>
      </c>
      <c r="N174" s="314">
        <f>Meter!M133</f>
        <v>0</v>
      </c>
      <c r="O174" s="314">
        <f>Meter!N133</f>
        <v>0</v>
      </c>
      <c r="P174" s="314">
        <f>Meter!O133</f>
        <v>0</v>
      </c>
      <c r="Q174" s="784">
        <f>Meter!P133</f>
        <v>0</v>
      </c>
    </row>
    <row r="175" spans="1:17" s="755" customFormat="1" ht="15.75" customHeight="1">
      <c r="A175" s="761">
        <v>17</v>
      </c>
      <c r="B175" s="307" t="s">
        <v>777</v>
      </c>
      <c r="C175" s="916"/>
      <c r="D175" s="767"/>
      <c r="E175" s="772">
        <f t="shared" si="185"/>
        <v>5437</v>
      </c>
      <c r="F175" s="770">
        <f t="shared" ref="F175:Q175" si="200">BY38</f>
        <v>2942</v>
      </c>
      <c r="G175" s="304">
        <f t="shared" si="200"/>
        <v>2495</v>
      </c>
      <c r="H175" s="304">
        <f t="shared" si="200"/>
        <v>0</v>
      </c>
      <c r="I175" s="304">
        <f t="shared" si="200"/>
        <v>0</v>
      </c>
      <c r="J175" s="304">
        <f t="shared" si="200"/>
        <v>0</v>
      </c>
      <c r="K175" s="304">
        <f t="shared" si="200"/>
        <v>0</v>
      </c>
      <c r="L175" s="304">
        <f t="shared" si="200"/>
        <v>0</v>
      </c>
      <c r="M175" s="304">
        <f t="shared" si="200"/>
        <v>0</v>
      </c>
      <c r="N175" s="304">
        <f t="shared" si="200"/>
        <v>0</v>
      </c>
      <c r="O175" s="304">
        <f t="shared" si="200"/>
        <v>0</v>
      </c>
      <c r="P175" s="304">
        <f t="shared" si="200"/>
        <v>0</v>
      </c>
      <c r="Q175" s="306">
        <f t="shared" si="200"/>
        <v>0</v>
      </c>
    </row>
    <row r="176" spans="1:17" s="755" customFormat="1" ht="15.75" customHeight="1">
      <c r="A176" s="761">
        <v>18</v>
      </c>
      <c r="B176" s="307" t="s">
        <v>966</v>
      </c>
      <c r="C176" s="916"/>
      <c r="D176" s="767"/>
      <c r="E176" s="772">
        <f t="shared" si="185"/>
        <v>2284</v>
      </c>
      <c r="F176" s="770">
        <f>SUM(F141,F142)</f>
        <v>1146</v>
      </c>
      <c r="G176" s="304">
        <f>SUM(G141,G142)</f>
        <v>1138</v>
      </c>
      <c r="H176" s="304">
        <f t="shared" ref="H176:Q176" si="201">SUM(H159:H160)</f>
        <v>0</v>
      </c>
      <c r="I176" s="304">
        <f t="shared" si="201"/>
        <v>0</v>
      </c>
      <c r="J176" s="304">
        <f t="shared" si="201"/>
        <v>0</v>
      </c>
      <c r="K176" s="304">
        <f t="shared" si="201"/>
        <v>0</v>
      </c>
      <c r="L176" s="304">
        <f t="shared" si="201"/>
        <v>0</v>
      </c>
      <c r="M176" s="304">
        <f t="shared" si="201"/>
        <v>0</v>
      </c>
      <c r="N176" s="304">
        <f t="shared" si="201"/>
        <v>0</v>
      </c>
      <c r="O176" s="304">
        <f t="shared" si="201"/>
        <v>0</v>
      </c>
      <c r="P176" s="304">
        <f t="shared" si="201"/>
        <v>0</v>
      </c>
      <c r="Q176" s="306">
        <f t="shared" si="201"/>
        <v>0</v>
      </c>
    </row>
    <row r="177" spans="1:17" s="755" customFormat="1" ht="15.75" customHeight="1">
      <c r="A177" s="761">
        <v>19</v>
      </c>
      <c r="B177" s="307" t="s">
        <v>971</v>
      </c>
      <c r="C177" s="916"/>
      <c r="D177" s="767"/>
      <c r="E177" s="772">
        <f t="shared" si="185"/>
        <v>205</v>
      </c>
      <c r="F177" s="770">
        <f t="shared" ref="F177:Q177" si="202">SUM(F143,F148)</f>
        <v>92</v>
      </c>
      <c r="G177" s="304">
        <f t="shared" si="202"/>
        <v>113</v>
      </c>
      <c r="H177" s="304">
        <f t="shared" si="202"/>
        <v>0</v>
      </c>
      <c r="I177" s="304">
        <f t="shared" si="202"/>
        <v>0</v>
      </c>
      <c r="J177" s="304">
        <f t="shared" si="202"/>
        <v>0</v>
      </c>
      <c r="K177" s="304">
        <f t="shared" si="202"/>
        <v>0</v>
      </c>
      <c r="L177" s="304">
        <f t="shared" si="202"/>
        <v>0</v>
      </c>
      <c r="M177" s="304">
        <f t="shared" si="202"/>
        <v>0</v>
      </c>
      <c r="N177" s="304">
        <f t="shared" si="202"/>
        <v>0</v>
      </c>
      <c r="O177" s="304">
        <f t="shared" si="202"/>
        <v>0</v>
      </c>
      <c r="P177" s="304">
        <f t="shared" si="202"/>
        <v>0</v>
      </c>
      <c r="Q177" s="306">
        <f t="shared" si="202"/>
        <v>0</v>
      </c>
    </row>
    <row r="178" spans="1:17" s="755" customFormat="1" ht="15.75" customHeight="1">
      <c r="A178" s="761">
        <v>20</v>
      </c>
      <c r="B178" s="315" t="s">
        <v>779</v>
      </c>
      <c r="C178" s="916"/>
      <c r="D178" s="767"/>
      <c r="E178" s="772">
        <f t="shared" si="185"/>
        <v>7926</v>
      </c>
      <c r="F178" s="770">
        <f>SUM(F175:F177)</f>
        <v>4180</v>
      </c>
      <c r="G178" s="304">
        <f t="shared" ref="G178:Q178" si="203">SUM(G175:G177)</f>
        <v>3746</v>
      </c>
      <c r="H178" s="304">
        <f t="shared" si="203"/>
        <v>0</v>
      </c>
      <c r="I178" s="304">
        <f t="shared" si="203"/>
        <v>0</v>
      </c>
      <c r="J178" s="304">
        <f t="shared" si="203"/>
        <v>0</v>
      </c>
      <c r="K178" s="304">
        <f t="shared" si="203"/>
        <v>0</v>
      </c>
      <c r="L178" s="304">
        <f t="shared" si="203"/>
        <v>0</v>
      </c>
      <c r="M178" s="304">
        <f t="shared" si="203"/>
        <v>0</v>
      </c>
      <c r="N178" s="304">
        <f t="shared" si="203"/>
        <v>0</v>
      </c>
      <c r="O178" s="304">
        <f t="shared" si="203"/>
        <v>0</v>
      </c>
      <c r="P178" s="304">
        <f t="shared" si="203"/>
        <v>0</v>
      </c>
      <c r="Q178" s="306">
        <f t="shared" si="203"/>
        <v>0</v>
      </c>
    </row>
    <row r="179" spans="1:17" s="755" customFormat="1" ht="15.75" customHeight="1" thickBot="1">
      <c r="A179" s="761">
        <v>21</v>
      </c>
      <c r="B179" s="789" t="s">
        <v>972</v>
      </c>
      <c r="C179" s="917"/>
      <c r="D179" s="768"/>
      <c r="E179" s="773">
        <f t="shared" si="185"/>
        <v>2136</v>
      </c>
      <c r="F179" s="551">
        <f>IF(F174&gt;0,F174-F178,0)</f>
        <v>-15</v>
      </c>
      <c r="G179" s="522">
        <f t="shared" ref="G179:Q179" si="204">IF(G174&gt;0,G174-G178,0)</f>
        <v>271</v>
      </c>
      <c r="H179" s="522">
        <f t="shared" si="204"/>
        <v>1880</v>
      </c>
      <c r="I179" s="522">
        <f t="shared" si="204"/>
        <v>0</v>
      </c>
      <c r="J179" s="522">
        <f t="shared" si="204"/>
        <v>0</v>
      </c>
      <c r="K179" s="522">
        <f t="shared" si="204"/>
        <v>0</v>
      </c>
      <c r="L179" s="522">
        <f t="shared" si="204"/>
        <v>0</v>
      </c>
      <c r="M179" s="522">
        <f t="shared" si="204"/>
        <v>0</v>
      </c>
      <c r="N179" s="522">
        <f t="shared" si="204"/>
        <v>0</v>
      </c>
      <c r="O179" s="522">
        <f t="shared" si="204"/>
        <v>0</v>
      </c>
      <c r="P179" s="522">
        <f t="shared" si="204"/>
        <v>0</v>
      </c>
      <c r="Q179" s="540">
        <f t="shared" si="204"/>
        <v>0</v>
      </c>
    </row>
    <row r="180" spans="1:17" s="760" customFormat="1" ht="15.75" customHeight="1">
      <c r="A180" s="761">
        <v>22</v>
      </c>
      <c r="B180" s="763" t="s">
        <v>776</v>
      </c>
      <c r="C180" s="915" t="s">
        <v>977</v>
      </c>
      <c r="D180" s="769"/>
      <c r="E180" s="771">
        <f>SUM(F180:Q180)</f>
        <v>543</v>
      </c>
      <c r="F180" s="783">
        <f t="shared" ref="F180:Q180" si="205">SUM(F137:F138)</f>
        <v>292</v>
      </c>
      <c r="G180" s="783">
        <f t="shared" si="205"/>
        <v>251</v>
      </c>
      <c r="H180" s="783">
        <f t="shared" si="205"/>
        <v>0</v>
      </c>
      <c r="I180" s="783">
        <f t="shared" si="205"/>
        <v>0</v>
      </c>
      <c r="J180" s="783">
        <f t="shared" si="205"/>
        <v>0</v>
      </c>
      <c r="K180" s="783">
        <f t="shared" si="205"/>
        <v>0</v>
      </c>
      <c r="L180" s="783">
        <f t="shared" si="205"/>
        <v>0</v>
      </c>
      <c r="M180" s="783">
        <f t="shared" si="205"/>
        <v>0</v>
      </c>
      <c r="N180" s="783">
        <f t="shared" si="205"/>
        <v>0</v>
      </c>
      <c r="O180" s="783">
        <f t="shared" si="205"/>
        <v>0</v>
      </c>
      <c r="P180" s="783">
        <f t="shared" si="205"/>
        <v>0</v>
      </c>
      <c r="Q180" s="791">
        <f t="shared" si="205"/>
        <v>0</v>
      </c>
    </row>
    <row r="181" spans="1:17" s="760" customFormat="1" ht="15.75" customHeight="1">
      <c r="A181" s="761">
        <v>23</v>
      </c>
      <c r="B181" s="758" t="s">
        <v>769</v>
      </c>
      <c r="C181" s="916"/>
      <c r="D181" s="767"/>
      <c r="E181" s="772">
        <f t="shared" ref="E181:E182" si="206">SUM(F181:Q181)</f>
        <v>556</v>
      </c>
      <c r="F181" s="770">
        <f t="shared" ref="F181:Q181" si="207">CL38</f>
        <v>279</v>
      </c>
      <c r="G181" s="770">
        <f t="shared" si="207"/>
        <v>277</v>
      </c>
      <c r="H181" s="770">
        <f t="shared" si="207"/>
        <v>0</v>
      </c>
      <c r="I181" s="770">
        <f t="shared" si="207"/>
        <v>0</v>
      </c>
      <c r="J181" s="770">
        <f t="shared" si="207"/>
        <v>0</v>
      </c>
      <c r="K181" s="770">
        <f t="shared" si="207"/>
        <v>0</v>
      </c>
      <c r="L181" s="770">
        <f t="shared" si="207"/>
        <v>0</v>
      </c>
      <c r="M181" s="770">
        <f t="shared" si="207"/>
        <v>0</v>
      </c>
      <c r="N181" s="770">
        <f t="shared" si="207"/>
        <v>0</v>
      </c>
      <c r="O181" s="770">
        <f t="shared" si="207"/>
        <v>0</v>
      </c>
      <c r="P181" s="770">
        <f t="shared" si="207"/>
        <v>0</v>
      </c>
      <c r="Q181" s="792">
        <f t="shared" si="207"/>
        <v>0</v>
      </c>
    </row>
    <row r="182" spans="1:17" s="760" customFormat="1" ht="15.75" customHeight="1" thickBot="1">
      <c r="A182" s="761">
        <v>24</v>
      </c>
      <c r="B182" s="759" t="s">
        <v>312</v>
      </c>
      <c r="C182" s="917"/>
      <c r="D182" s="768"/>
      <c r="E182" s="773">
        <f t="shared" si="206"/>
        <v>-13</v>
      </c>
      <c r="F182" s="551">
        <f>IF(F180&gt;0,F180-F181,0)</f>
        <v>13</v>
      </c>
      <c r="G182" s="551">
        <f t="shared" ref="G182:Q182" si="208">IF(G180&gt;0,G180-G181,0)</f>
        <v>-26</v>
      </c>
      <c r="H182" s="551">
        <f t="shared" si="208"/>
        <v>0</v>
      </c>
      <c r="I182" s="551">
        <f t="shared" si="208"/>
        <v>0</v>
      </c>
      <c r="J182" s="551">
        <f t="shared" si="208"/>
        <v>0</v>
      </c>
      <c r="K182" s="551">
        <f t="shared" si="208"/>
        <v>0</v>
      </c>
      <c r="L182" s="551">
        <f t="shared" si="208"/>
        <v>0</v>
      </c>
      <c r="M182" s="551">
        <f t="shared" si="208"/>
        <v>0</v>
      </c>
      <c r="N182" s="551">
        <f t="shared" si="208"/>
        <v>0</v>
      </c>
      <c r="O182" s="551">
        <f t="shared" si="208"/>
        <v>0</v>
      </c>
      <c r="P182" s="551">
        <f t="shared" si="208"/>
        <v>0</v>
      </c>
      <c r="Q182" s="793">
        <f t="shared" si="208"/>
        <v>0</v>
      </c>
    </row>
    <row r="183" spans="1:17" ht="15.75" customHeight="1"/>
    <row r="184" spans="1:17" ht="15.75" customHeight="1"/>
    <row r="185" spans="1:17" ht="15.75" customHeight="1"/>
    <row r="186" spans="1:17" ht="15.75" customHeight="1"/>
    <row r="187" spans="1:17" ht="15.75" customHeight="1"/>
    <row r="188" spans="1:17" ht="15.75" customHeight="1"/>
    <row r="189" spans="1:17" ht="15.75" customHeight="1"/>
    <row r="190" spans="1:17" ht="15.75" customHeight="1"/>
    <row r="191" spans="1:17" ht="15.75" customHeight="1"/>
    <row r="192" spans="1:17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</sheetData>
  <mergeCells count="87">
    <mergeCell ref="C9:C10"/>
    <mergeCell ref="C11:C12"/>
    <mergeCell ref="C41:C42"/>
    <mergeCell ref="B27:B28"/>
    <mergeCell ref="B29:B30"/>
    <mergeCell ref="C59:C60"/>
    <mergeCell ref="C61:C62"/>
    <mergeCell ref="C57:C58"/>
    <mergeCell ref="C55:C56"/>
    <mergeCell ref="GX6:HB6"/>
    <mergeCell ref="C15:C16"/>
    <mergeCell ref="C13:C14"/>
    <mergeCell ref="C17:C18"/>
    <mergeCell ref="C23:C24"/>
    <mergeCell ref="C19:C20"/>
    <mergeCell ref="C21:C22"/>
    <mergeCell ref="C25:C26"/>
    <mergeCell ref="C27:C28"/>
    <mergeCell ref="C29:C30"/>
    <mergeCell ref="AC6:AG6"/>
    <mergeCell ref="FX6:GJ6"/>
    <mergeCell ref="B65:B66"/>
    <mergeCell ref="C65:C66"/>
    <mergeCell ref="C37:C38"/>
    <mergeCell ref="B21:B22"/>
    <mergeCell ref="B23:B24"/>
    <mergeCell ref="B41:B42"/>
    <mergeCell ref="B61:B62"/>
    <mergeCell ref="B59:B60"/>
    <mergeCell ref="B57:B58"/>
    <mergeCell ref="B55:B56"/>
    <mergeCell ref="C31:C32"/>
    <mergeCell ref="C33:C34"/>
    <mergeCell ref="C35:C36"/>
    <mergeCell ref="B35:B36"/>
    <mergeCell ref="B63:B64"/>
    <mergeCell ref="C63:C64"/>
    <mergeCell ref="B49:B50"/>
    <mergeCell ref="C53:C54"/>
    <mergeCell ref="B53:B54"/>
    <mergeCell ref="C47:C48"/>
    <mergeCell ref="B47:B48"/>
    <mergeCell ref="C49:C50"/>
    <mergeCell ref="C51:C52"/>
    <mergeCell ref="B51:B52"/>
    <mergeCell ref="B45:B46"/>
    <mergeCell ref="B11:B12"/>
    <mergeCell ref="B9:B10"/>
    <mergeCell ref="B13:B14"/>
    <mergeCell ref="B25:B26"/>
    <mergeCell ref="B17:B18"/>
    <mergeCell ref="B19:B20"/>
    <mergeCell ref="B43:B44"/>
    <mergeCell ref="B31:B32"/>
    <mergeCell ref="B37:B38"/>
    <mergeCell ref="B39:B40"/>
    <mergeCell ref="B33:B34"/>
    <mergeCell ref="B15:B16"/>
    <mergeCell ref="GK6:GW6"/>
    <mergeCell ref="CK6:CW6"/>
    <mergeCell ref="CX6:DJ6"/>
    <mergeCell ref="DK6:DW6"/>
    <mergeCell ref="DX6:EJ6"/>
    <mergeCell ref="EK6:EW6"/>
    <mergeCell ref="EX6:FJ6"/>
    <mergeCell ref="BX6:CJ6"/>
    <mergeCell ref="FK6:FW6"/>
    <mergeCell ref="AJ39:AS39"/>
    <mergeCell ref="AH71:AH72"/>
    <mergeCell ref="AH73:AI73"/>
    <mergeCell ref="AH6:AU6"/>
    <mergeCell ref="C174:C179"/>
    <mergeCell ref="C180:C182"/>
    <mergeCell ref="C159:C161"/>
    <mergeCell ref="AV6:BI6"/>
    <mergeCell ref="BJ6:BW6"/>
    <mergeCell ref="C45:C46"/>
    <mergeCell ref="C43:C44"/>
    <mergeCell ref="C39:C40"/>
    <mergeCell ref="C162:C164"/>
    <mergeCell ref="C165:C167"/>
    <mergeCell ref="C168:C170"/>
    <mergeCell ref="C171:C173"/>
    <mergeCell ref="N6:Q6"/>
    <mergeCell ref="E6:M6"/>
    <mergeCell ref="A6:D6"/>
    <mergeCell ref="R6:AB6"/>
  </mergeCells>
  <conditionalFormatting sqref="B153:B157">
    <cfRule type="duplicateValues" dxfId="0" priority="1"/>
  </conditionalFormatting>
  <pageMargins left="0.39370078740157483" right="0.39370078740157483" top="0.39370078740157483" bottom="0.19685039370078741" header="0" footer="0"/>
  <pageSetup scale="8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AJ1035"/>
  <sheetViews>
    <sheetView zoomScaleNormal="100" workbookViewId="0">
      <selection activeCell="K52" sqref="K52"/>
    </sheetView>
  </sheetViews>
  <sheetFormatPr defaultColWidth="11.19921875" defaultRowHeight="15" customHeight="1"/>
  <cols>
    <col min="1" max="1" width="4.19921875" customWidth="1"/>
    <col min="2" max="2" width="17.8984375" customWidth="1"/>
    <col min="3" max="3" width="7.19921875" customWidth="1"/>
    <col min="4" max="4" width="5.59765625" customWidth="1"/>
    <col min="5" max="16" width="8.09765625" customWidth="1"/>
    <col min="17" max="17" width="1.59765625" customWidth="1"/>
    <col min="18" max="18" width="6.59765625" customWidth="1"/>
    <col min="19" max="19" width="9.8984375" bestFit="1" customWidth="1"/>
    <col min="20" max="23" width="8.8984375" bestFit="1" customWidth="1"/>
    <col min="24" max="24" width="2" bestFit="1" customWidth="1"/>
    <col min="25" max="25" width="6.59765625" customWidth="1"/>
    <col min="26" max="28" width="7.5" customWidth="1"/>
    <col min="29" max="36" width="5.8984375" customWidth="1"/>
  </cols>
  <sheetData>
    <row r="1" spans="1:36" ht="16.5" customHeight="1">
      <c r="B1" s="900" t="s">
        <v>151</v>
      </c>
      <c r="C1" s="895"/>
      <c r="D1" s="895"/>
      <c r="E1" s="895"/>
      <c r="F1" s="895"/>
      <c r="G1" s="895"/>
      <c r="H1" s="895"/>
      <c r="I1" s="895"/>
      <c r="J1" s="895"/>
      <c r="K1" s="101" t="s">
        <v>152</v>
      </c>
      <c r="L1" s="101"/>
      <c r="M1" s="101"/>
      <c r="N1" s="101" t="s">
        <v>154</v>
      </c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</row>
    <row r="2" spans="1:36" ht="6.75" customHeight="1" thickBot="1">
      <c r="B2" s="15"/>
      <c r="C2" s="9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</row>
    <row r="3" spans="1:36" ht="15.75" customHeight="1">
      <c r="A3" s="133" t="s">
        <v>3</v>
      </c>
      <c r="B3" s="134" t="s">
        <v>155</v>
      </c>
      <c r="C3" s="211" t="s">
        <v>67</v>
      </c>
      <c r="D3" s="214" t="s">
        <v>89</v>
      </c>
      <c r="E3" s="215" t="s">
        <v>90</v>
      </c>
      <c r="F3" s="215" t="s">
        <v>91</v>
      </c>
      <c r="G3" s="215" t="s">
        <v>92</v>
      </c>
      <c r="H3" s="215" t="s">
        <v>93</v>
      </c>
      <c r="I3" s="215" t="s">
        <v>94</v>
      </c>
      <c r="J3" s="215" t="s">
        <v>95</v>
      </c>
      <c r="K3" s="215" t="s">
        <v>96</v>
      </c>
      <c r="L3" s="215" t="s">
        <v>97</v>
      </c>
      <c r="M3" s="215" t="s">
        <v>98</v>
      </c>
      <c r="N3" s="215" t="s">
        <v>99</v>
      </c>
      <c r="O3" s="215" t="s">
        <v>100</v>
      </c>
      <c r="P3" s="216" t="s">
        <v>101</v>
      </c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1:36" ht="15.75" customHeight="1">
      <c r="A4" s="1011">
        <v>1</v>
      </c>
      <c r="B4" s="177" t="s">
        <v>189</v>
      </c>
      <c r="C4" s="512" t="s">
        <v>157</v>
      </c>
      <c r="D4" s="217">
        <v>256</v>
      </c>
      <c r="E4" s="179">
        <v>267</v>
      </c>
      <c r="F4" s="179">
        <v>279</v>
      </c>
      <c r="G4" s="179"/>
      <c r="H4" s="179"/>
      <c r="I4" s="179"/>
      <c r="J4" s="179"/>
      <c r="K4" s="179"/>
      <c r="L4" s="179"/>
      <c r="M4" s="179"/>
      <c r="N4" s="179"/>
      <c r="O4" s="179"/>
      <c r="P4" s="218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</row>
    <row r="5" spans="1:36" ht="15.75" customHeight="1">
      <c r="A5" s="997"/>
      <c r="B5" s="178" t="s">
        <v>158</v>
      </c>
      <c r="C5" s="512" t="s">
        <v>887</v>
      </c>
      <c r="D5" s="1005" t="s">
        <v>165</v>
      </c>
      <c r="E5" s="179">
        <f t="shared" ref="E5:N5" si="0">IF(E4&gt;0,E4-D4,0)</f>
        <v>11</v>
      </c>
      <c r="F5" s="179">
        <f t="shared" si="0"/>
        <v>12</v>
      </c>
      <c r="G5" s="179">
        <f t="shared" si="0"/>
        <v>0</v>
      </c>
      <c r="H5" s="179">
        <f t="shared" si="0"/>
        <v>0</v>
      </c>
      <c r="I5" s="179">
        <f t="shared" si="0"/>
        <v>0</v>
      </c>
      <c r="J5" s="179">
        <f t="shared" si="0"/>
        <v>0</v>
      </c>
      <c r="K5" s="179">
        <f t="shared" si="0"/>
        <v>0</v>
      </c>
      <c r="L5" s="179">
        <f t="shared" si="0"/>
        <v>0</v>
      </c>
      <c r="M5" s="179">
        <f t="shared" si="0"/>
        <v>0</v>
      </c>
      <c r="N5" s="179">
        <f t="shared" si="0"/>
        <v>0</v>
      </c>
      <c r="O5" s="179">
        <f t="shared" ref="O5" si="1">IF(O4&gt;0,O4-N4,0)</f>
        <v>0</v>
      </c>
      <c r="P5" s="179">
        <f t="shared" ref="P5" si="2">IF(P4&gt;0,P4-O4,0)</f>
        <v>0</v>
      </c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</row>
    <row r="6" spans="1:36" ht="15.75" customHeight="1">
      <c r="A6" s="997"/>
      <c r="B6" s="178" t="s">
        <v>190</v>
      </c>
      <c r="C6" s="512" t="s">
        <v>888</v>
      </c>
      <c r="D6" s="1006"/>
      <c r="E6" s="327">
        <v>155480</v>
      </c>
      <c r="F6" s="327">
        <v>176640</v>
      </c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</row>
    <row r="7" spans="1:36" ht="15.75" customHeight="1" thickBot="1">
      <c r="A7" s="998"/>
      <c r="B7" s="186" t="s">
        <v>191</v>
      </c>
      <c r="C7" s="513" t="s">
        <v>163</v>
      </c>
      <c r="D7" s="1007"/>
      <c r="E7" s="187">
        <f>IF(E6&gt;0,E6/E5,0)</f>
        <v>14134.545454545454</v>
      </c>
      <c r="F7" s="187">
        <f>IF(F6&gt;0,F6/F5,0)</f>
        <v>14720</v>
      </c>
      <c r="G7" s="187">
        <f>IF(G6&gt;0,G6/G5,0)</f>
        <v>0</v>
      </c>
      <c r="H7" s="187">
        <f>IF(H6&gt;0,H6/H5,0)</f>
        <v>0</v>
      </c>
      <c r="I7" s="187">
        <f>IF(I6&gt;0,I6/I5,0)</f>
        <v>0</v>
      </c>
      <c r="J7" s="187">
        <f t="shared" ref="J7:P7" si="3">IF(J6&gt;0,J6/J5,0)</f>
        <v>0</v>
      </c>
      <c r="K7" s="187">
        <f t="shared" si="3"/>
        <v>0</v>
      </c>
      <c r="L7" s="187">
        <f t="shared" si="3"/>
        <v>0</v>
      </c>
      <c r="M7" s="187">
        <f t="shared" si="3"/>
        <v>0</v>
      </c>
      <c r="N7" s="187">
        <f>IF(N6&gt;0,N6/N5,0)</f>
        <v>0</v>
      </c>
      <c r="O7" s="187">
        <f t="shared" si="3"/>
        <v>0</v>
      </c>
      <c r="P7" s="187">
        <f t="shared" si="3"/>
        <v>0</v>
      </c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</row>
    <row r="8" spans="1:36" ht="15.75" customHeight="1">
      <c r="A8" s="993">
        <v>2</v>
      </c>
      <c r="B8" s="197" t="s">
        <v>185</v>
      </c>
      <c r="C8" s="212" t="s">
        <v>157</v>
      </c>
      <c r="D8" s="220">
        <v>28</v>
      </c>
      <c r="E8" s="198">
        <v>37</v>
      </c>
      <c r="F8" s="198">
        <v>49</v>
      </c>
      <c r="G8" s="198"/>
      <c r="H8" s="198"/>
      <c r="I8" s="198"/>
      <c r="J8" s="198"/>
      <c r="K8" s="198"/>
      <c r="L8" s="198"/>
      <c r="M8" s="198"/>
      <c r="N8" s="198"/>
      <c r="O8" s="198"/>
      <c r="P8" s="199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</row>
    <row r="9" spans="1:36" ht="15.75" customHeight="1">
      <c r="A9" s="994"/>
      <c r="B9" s="182" t="s">
        <v>137</v>
      </c>
      <c r="C9" s="511" t="s">
        <v>933</v>
      </c>
      <c r="D9" s="1002"/>
      <c r="E9" s="183">
        <f t="shared" ref="E9:P9" si="4">IF(E8&gt;0,E8-D8,0)</f>
        <v>9</v>
      </c>
      <c r="F9" s="183">
        <f t="shared" si="4"/>
        <v>12</v>
      </c>
      <c r="G9" s="183">
        <f t="shared" si="4"/>
        <v>0</v>
      </c>
      <c r="H9" s="183">
        <f t="shared" si="4"/>
        <v>0</v>
      </c>
      <c r="I9" s="183">
        <f t="shared" si="4"/>
        <v>0</v>
      </c>
      <c r="J9" s="183">
        <f t="shared" si="4"/>
        <v>0</v>
      </c>
      <c r="K9" s="183">
        <f t="shared" si="4"/>
        <v>0</v>
      </c>
      <c r="L9" s="183">
        <f t="shared" si="4"/>
        <v>0</v>
      </c>
      <c r="M9" s="183">
        <f t="shared" si="4"/>
        <v>0</v>
      </c>
      <c r="N9" s="183">
        <f t="shared" si="4"/>
        <v>0</v>
      </c>
      <c r="O9" s="183">
        <f t="shared" si="4"/>
        <v>0</v>
      </c>
      <c r="P9" s="200">
        <f t="shared" si="4"/>
        <v>0</v>
      </c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</row>
    <row r="10" spans="1:36" ht="15.75" customHeight="1">
      <c r="A10" s="994"/>
      <c r="B10" s="182" t="s">
        <v>186</v>
      </c>
      <c r="C10" s="511" t="s">
        <v>934</v>
      </c>
      <c r="D10" s="994"/>
      <c r="E10" s="183">
        <v>126845</v>
      </c>
      <c r="F10" s="183">
        <v>176640</v>
      </c>
      <c r="G10" s="183"/>
      <c r="H10" s="183"/>
      <c r="I10" s="183"/>
      <c r="J10" s="183"/>
      <c r="K10" s="183"/>
      <c r="L10" s="183"/>
      <c r="M10" s="183"/>
      <c r="N10" s="183"/>
      <c r="O10" s="183"/>
      <c r="P10" s="200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</row>
    <row r="11" spans="1:36" ht="15.75" customHeight="1" thickBot="1">
      <c r="A11" s="995"/>
      <c r="B11" s="201" t="s">
        <v>184</v>
      </c>
      <c r="C11" s="213" t="s">
        <v>163</v>
      </c>
      <c r="D11" s="995"/>
      <c r="E11" s="202">
        <f t="shared" ref="E11:P11" si="5">IF(E10&gt;0,E10/E9,0)</f>
        <v>14093.888888888889</v>
      </c>
      <c r="F11" s="202">
        <f t="shared" si="5"/>
        <v>14720</v>
      </c>
      <c r="G11" s="202">
        <f t="shared" si="5"/>
        <v>0</v>
      </c>
      <c r="H11" s="202">
        <f t="shared" si="5"/>
        <v>0</v>
      </c>
      <c r="I11" s="202">
        <f t="shared" si="5"/>
        <v>0</v>
      </c>
      <c r="J11" s="202">
        <f t="shared" si="5"/>
        <v>0</v>
      </c>
      <c r="K11" s="202">
        <f t="shared" si="5"/>
        <v>0</v>
      </c>
      <c r="L11" s="202">
        <f t="shared" si="5"/>
        <v>0</v>
      </c>
      <c r="M11" s="202">
        <f t="shared" si="5"/>
        <v>0</v>
      </c>
      <c r="N11" s="202">
        <f t="shared" si="5"/>
        <v>0</v>
      </c>
      <c r="O11" s="202">
        <f t="shared" si="5"/>
        <v>0</v>
      </c>
      <c r="P11" s="203">
        <f t="shared" si="5"/>
        <v>0</v>
      </c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</row>
    <row r="12" spans="1:36" ht="15.75" customHeight="1">
      <c r="A12" s="996">
        <v>3</v>
      </c>
      <c r="B12" s="191" t="s">
        <v>181</v>
      </c>
      <c r="C12" s="212" t="s">
        <v>157</v>
      </c>
      <c r="D12" s="221">
        <v>27</v>
      </c>
      <c r="E12" s="192">
        <v>37</v>
      </c>
      <c r="F12" s="192">
        <v>51</v>
      </c>
      <c r="G12" s="192"/>
      <c r="H12" s="192"/>
      <c r="I12" s="192"/>
      <c r="J12" s="192"/>
      <c r="K12" s="192"/>
      <c r="L12" s="192"/>
      <c r="M12" s="192"/>
      <c r="N12" s="192"/>
      <c r="O12" s="192"/>
      <c r="P12" s="222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</row>
    <row r="13" spans="1:36" ht="15.75" customHeight="1">
      <c r="A13" s="997"/>
      <c r="B13" s="178" t="s">
        <v>182</v>
      </c>
      <c r="C13" s="511" t="s">
        <v>933</v>
      </c>
      <c r="D13" s="975"/>
      <c r="E13" s="179">
        <f t="shared" ref="E13:P13" si="6">IF(E12&gt;0,E12-D12,0)</f>
        <v>10</v>
      </c>
      <c r="F13" s="179">
        <f t="shared" si="6"/>
        <v>14</v>
      </c>
      <c r="G13" s="179">
        <f t="shared" si="6"/>
        <v>0</v>
      </c>
      <c r="H13" s="179">
        <f t="shared" si="6"/>
        <v>0</v>
      </c>
      <c r="I13" s="179">
        <f t="shared" si="6"/>
        <v>0</v>
      </c>
      <c r="J13" s="179">
        <f t="shared" si="6"/>
        <v>0</v>
      </c>
      <c r="K13" s="179">
        <f t="shared" si="6"/>
        <v>0</v>
      </c>
      <c r="L13" s="179">
        <f t="shared" si="6"/>
        <v>0</v>
      </c>
      <c r="M13" s="179">
        <f t="shared" si="6"/>
        <v>0</v>
      </c>
      <c r="N13" s="179">
        <f t="shared" si="6"/>
        <v>0</v>
      </c>
      <c r="O13" s="179">
        <f t="shared" si="6"/>
        <v>0</v>
      </c>
      <c r="P13" s="218">
        <f t="shared" si="6"/>
        <v>0</v>
      </c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</row>
    <row r="14" spans="1:36" ht="15.75" customHeight="1">
      <c r="A14" s="997"/>
      <c r="B14" s="178" t="s">
        <v>183</v>
      </c>
      <c r="C14" s="511" t="s">
        <v>934</v>
      </c>
      <c r="D14" s="976"/>
      <c r="E14" s="179">
        <v>141565</v>
      </c>
      <c r="F14" s="179">
        <v>206080</v>
      </c>
      <c r="G14" s="179"/>
      <c r="H14" s="179"/>
      <c r="I14" s="179"/>
      <c r="J14" s="179"/>
      <c r="K14" s="179"/>
      <c r="L14" s="179"/>
      <c r="M14" s="179"/>
      <c r="N14" s="179"/>
      <c r="O14" s="179"/>
      <c r="P14" s="218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</row>
    <row r="15" spans="1:36" ht="15.75" customHeight="1" thickBot="1">
      <c r="A15" s="998"/>
      <c r="B15" s="186" t="s">
        <v>184</v>
      </c>
      <c r="C15" s="213" t="s">
        <v>163</v>
      </c>
      <c r="D15" s="989"/>
      <c r="E15" s="188">
        <f t="shared" ref="E15:P15" si="7">IF(E14&gt;0,E14/E13,0)</f>
        <v>14156.5</v>
      </c>
      <c r="F15" s="188">
        <f t="shared" si="7"/>
        <v>14720</v>
      </c>
      <c r="G15" s="188">
        <f t="shared" si="7"/>
        <v>0</v>
      </c>
      <c r="H15" s="188">
        <f t="shared" si="7"/>
        <v>0</v>
      </c>
      <c r="I15" s="188">
        <f t="shared" si="7"/>
        <v>0</v>
      </c>
      <c r="J15" s="188">
        <f t="shared" si="7"/>
        <v>0</v>
      </c>
      <c r="K15" s="188">
        <f t="shared" si="7"/>
        <v>0</v>
      </c>
      <c r="L15" s="188">
        <f t="shared" si="7"/>
        <v>0</v>
      </c>
      <c r="M15" s="188">
        <f t="shared" si="7"/>
        <v>0</v>
      </c>
      <c r="N15" s="188">
        <f t="shared" si="7"/>
        <v>0</v>
      </c>
      <c r="O15" s="188">
        <f t="shared" si="7"/>
        <v>0</v>
      </c>
      <c r="P15" s="219">
        <f t="shared" si="7"/>
        <v>0</v>
      </c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</row>
    <row r="16" spans="1:36" ht="15.75" customHeight="1">
      <c r="A16" s="1010">
        <v>4</v>
      </c>
      <c r="B16" s="204" t="s">
        <v>174</v>
      </c>
      <c r="C16" s="212" t="s">
        <v>157</v>
      </c>
      <c r="D16" s="223">
        <v>1200</v>
      </c>
      <c r="E16" s="205">
        <v>1332</v>
      </c>
      <c r="F16" s="205">
        <v>1447</v>
      </c>
      <c r="G16" s="205"/>
      <c r="H16" s="205"/>
      <c r="I16" s="205"/>
      <c r="J16" s="205"/>
      <c r="K16" s="205"/>
      <c r="L16" s="205"/>
      <c r="M16" s="205"/>
      <c r="N16" s="205"/>
      <c r="O16" s="205"/>
      <c r="P16" s="206"/>
      <c r="Q16" s="101"/>
      <c r="R16" s="101" t="s">
        <v>876</v>
      </c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</row>
    <row r="17" spans="1:36" ht="15.75" customHeight="1">
      <c r="A17" s="994"/>
      <c r="B17" s="184" t="s">
        <v>158</v>
      </c>
      <c r="C17" s="511" t="s">
        <v>933</v>
      </c>
      <c r="D17" s="990" t="s">
        <v>768</v>
      </c>
      <c r="E17" s="185">
        <f t="shared" ref="E17:P17" si="8">IF(E16&gt;0,E16-D16,0)</f>
        <v>132</v>
      </c>
      <c r="F17" s="185">
        <f t="shared" si="8"/>
        <v>115</v>
      </c>
      <c r="G17" s="185">
        <f t="shared" si="8"/>
        <v>0</v>
      </c>
      <c r="H17" s="185">
        <f t="shared" si="8"/>
        <v>0</v>
      </c>
      <c r="I17" s="185">
        <f t="shared" si="8"/>
        <v>0</v>
      </c>
      <c r="J17" s="185">
        <f t="shared" si="8"/>
        <v>0</v>
      </c>
      <c r="K17" s="185">
        <f t="shared" si="8"/>
        <v>0</v>
      </c>
      <c r="L17" s="185">
        <f t="shared" si="8"/>
        <v>0</v>
      </c>
      <c r="M17" s="185">
        <f t="shared" si="8"/>
        <v>0</v>
      </c>
      <c r="N17" s="185">
        <f t="shared" si="8"/>
        <v>0</v>
      </c>
      <c r="O17" s="185">
        <f t="shared" si="8"/>
        <v>0</v>
      </c>
      <c r="P17" s="207">
        <f t="shared" si="8"/>
        <v>0</v>
      </c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</row>
    <row r="18" spans="1:36" ht="15.75" customHeight="1">
      <c r="A18" s="994"/>
      <c r="B18" s="184" t="s">
        <v>175</v>
      </c>
      <c r="C18" s="511" t="s">
        <v>934</v>
      </c>
      <c r="D18" s="991"/>
      <c r="E18" s="185">
        <v>1385185</v>
      </c>
      <c r="F18" s="185">
        <v>1077550</v>
      </c>
      <c r="G18" s="185"/>
      <c r="H18" s="185"/>
      <c r="I18" s="185"/>
      <c r="J18" s="185"/>
      <c r="K18" s="185"/>
      <c r="L18" s="185"/>
      <c r="M18" s="185"/>
      <c r="N18" s="185"/>
      <c r="O18" s="185"/>
      <c r="P18" s="207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</row>
    <row r="19" spans="1:36" ht="15.75" customHeight="1" thickBot="1">
      <c r="A19" s="995"/>
      <c r="B19" s="208" t="s">
        <v>176</v>
      </c>
      <c r="C19" s="213" t="s">
        <v>163</v>
      </c>
      <c r="D19" s="992"/>
      <c r="E19" s="209">
        <f t="shared" ref="E19:P19" si="9">IF(E18&gt;0,E18/E17,0)</f>
        <v>10493.825757575758</v>
      </c>
      <c r="F19" s="209">
        <f t="shared" si="9"/>
        <v>9370</v>
      </c>
      <c r="G19" s="209">
        <f t="shared" si="9"/>
        <v>0</v>
      </c>
      <c r="H19" s="209">
        <f t="shared" si="9"/>
        <v>0</v>
      </c>
      <c r="I19" s="209">
        <f t="shared" si="9"/>
        <v>0</v>
      </c>
      <c r="J19" s="209">
        <f t="shared" si="9"/>
        <v>0</v>
      </c>
      <c r="K19" s="209">
        <f t="shared" si="9"/>
        <v>0</v>
      </c>
      <c r="L19" s="209">
        <f t="shared" si="9"/>
        <v>0</v>
      </c>
      <c r="M19" s="209">
        <f>IF(M18&gt;0,M18/M17,0)</f>
        <v>0</v>
      </c>
      <c r="N19" s="209">
        <f t="shared" si="9"/>
        <v>0</v>
      </c>
      <c r="O19" s="209">
        <f t="shared" si="9"/>
        <v>0</v>
      </c>
      <c r="P19" s="210">
        <f t="shared" si="9"/>
        <v>0</v>
      </c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</row>
    <row r="20" spans="1:36" ht="15.75" customHeight="1">
      <c r="A20" s="1009">
        <v>5</v>
      </c>
      <c r="B20" s="193" t="s">
        <v>177</v>
      </c>
      <c r="C20" s="212" t="s">
        <v>157</v>
      </c>
      <c r="D20" s="224">
        <v>572</v>
      </c>
      <c r="E20" s="194">
        <v>716</v>
      </c>
      <c r="F20" s="194">
        <v>841</v>
      </c>
      <c r="G20" s="194"/>
      <c r="H20" s="194"/>
      <c r="I20" s="194"/>
      <c r="J20" s="194"/>
      <c r="K20" s="194"/>
      <c r="L20" s="194"/>
      <c r="M20" s="194"/>
      <c r="N20" s="194"/>
      <c r="O20" s="194"/>
      <c r="P20" s="225"/>
      <c r="Q20" s="101"/>
      <c r="R20" s="101" t="s">
        <v>876</v>
      </c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</row>
    <row r="21" spans="1:36" ht="15.75" customHeight="1">
      <c r="A21" s="997"/>
      <c r="B21" s="180" t="s">
        <v>158</v>
      </c>
      <c r="C21" s="511" t="s">
        <v>933</v>
      </c>
      <c r="D21" s="1008"/>
      <c r="E21" s="181">
        <f t="shared" ref="E21:P21" si="10">IF(E20&gt;0,E20-D20,0)</f>
        <v>144</v>
      </c>
      <c r="F21" s="181">
        <f t="shared" si="10"/>
        <v>125</v>
      </c>
      <c r="G21" s="181">
        <f t="shared" si="10"/>
        <v>0</v>
      </c>
      <c r="H21" s="181">
        <f t="shared" si="10"/>
        <v>0</v>
      </c>
      <c r="I21" s="181">
        <f t="shared" si="10"/>
        <v>0</v>
      </c>
      <c r="J21" s="181">
        <f t="shared" si="10"/>
        <v>0</v>
      </c>
      <c r="K21" s="181">
        <f t="shared" si="10"/>
        <v>0</v>
      </c>
      <c r="L21" s="181">
        <f t="shared" si="10"/>
        <v>0</v>
      </c>
      <c r="M21" s="181">
        <f t="shared" si="10"/>
        <v>0</v>
      </c>
      <c r="N21" s="181">
        <f t="shared" si="10"/>
        <v>0</v>
      </c>
      <c r="O21" s="181">
        <f t="shared" si="10"/>
        <v>0</v>
      </c>
      <c r="P21" s="226">
        <f t="shared" si="10"/>
        <v>0</v>
      </c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</row>
    <row r="22" spans="1:36" ht="15.75" customHeight="1">
      <c r="A22" s="997"/>
      <c r="B22" s="180" t="s">
        <v>180</v>
      </c>
      <c r="C22" s="511" t="s">
        <v>934</v>
      </c>
      <c r="D22" s="954"/>
      <c r="E22" s="181">
        <v>1998815</v>
      </c>
      <c r="F22" s="181">
        <v>1805730</v>
      </c>
      <c r="G22" s="181"/>
      <c r="H22" s="181"/>
      <c r="I22" s="181"/>
      <c r="J22" s="181"/>
      <c r="K22" s="181"/>
      <c r="L22" s="181"/>
      <c r="M22" s="181"/>
      <c r="N22" s="181"/>
      <c r="O22" s="181"/>
      <c r="P22" s="226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</row>
    <row r="23" spans="1:36" ht="15.75" customHeight="1" thickBot="1">
      <c r="A23" s="998"/>
      <c r="B23" s="189" t="s">
        <v>176</v>
      </c>
      <c r="C23" s="213" t="s">
        <v>163</v>
      </c>
      <c r="D23" s="989"/>
      <c r="E23" s="190">
        <f t="shared" ref="E23:P23" si="11">IF(E22&gt;0,E22/E21,0)</f>
        <v>13880.659722222223</v>
      </c>
      <c r="F23" s="190">
        <f t="shared" si="11"/>
        <v>14445.84</v>
      </c>
      <c r="G23" s="190">
        <f t="shared" si="11"/>
        <v>0</v>
      </c>
      <c r="H23" s="190">
        <f t="shared" si="11"/>
        <v>0</v>
      </c>
      <c r="I23" s="190">
        <f t="shared" si="11"/>
        <v>0</v>
      </c>
      <c r="J23" s="190">
        <f t="shared" si="11"/>
        <v>0</v>
      </c>
      <c r="K23" s="190">
        <f t="shared" si="11"/>
        <v>0</v>
      </c>
      <c r="L23" s="190">
        <f t="shared" si="11"/>
        <v>0</v>
      </c>
      <c r="M23" s="190">
        <f t="shared" si="11"/>
        <v>0</v>
      </c>
      <c r="N23" s="190">
        <f t="shared" si="11"/>
        <v>0</v>
      </c>
      <c r="O23" s="190">
        <f t="shared" si="11"/>
        <v>0</v>
      </c>
      <c r="P23" s="227">
        <f t="shared" si="11"/>
        <v>0</v>
      </c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  <c r="AJ23" s="101"/>
    </row>
    <row r="24" spans="1:36" ht="15.75" customHeight="1">
      <c r="A24" s="993">
        <v>6</v>
      </c>
      <c r="B24" s="197" t="s">
        <v>164</v>
      </c>
      <c r="C24" s="512" t="s">
        <v>157</v>
      </c>
      <c r="D24" s="220">
        <v>256</v>
      </c>
      <c r="E24" s="198">
        <v>272</v>
      </c>
      <c r="F24" s="198">
        <v>289</v>
      </c>
      <c r="G24" s="198"/>
      <c r="H24" s="198"/>
      <c r="I24" s="198"/>
      <c r="J24" s="198"/>
      <c r="K24" s="198"/>
      <c r="L24" s="198"/>
      <c r="M24" s="198"/>
      <c r="N24" s="198"/>
      <c r="O24" s="198"/>
      <c r="P24" s="199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</row>
    <row r="25" spans="1:36" ht="15.75" customHeight="1">
      <c r="A25" s="994"/>
      <c r="B25" s="182" t="s">
        <v>158</v>
      </c>
      <c r="C25" s="512" t="s">
        <v>887</v>
      </c>
      <c r="D25" s="999" t="s">
        <v>165</v>
      </c>
      <c r="E25" s="183">
        <f t="shared" ref="E25:P25" si="12">IF(E24&gt;0,E24-D24,0)</f>
        <v>16</v>
      </c>
      <c r="F25" s="183">
        <f t="shared" si="12"/>
        <v>17</v>
      </c>
      <c r="G25" s="183">
        <f t="shared" si="12"/>
        <v>0</v>
      </c>
      <c r="H25" s="183">
        <f t="shared" si="12"/>
        <v>0</v>
      </c>
      <c r="I25" s="183">
        <f t="shared" si="12"/>
        <v>0</v>
      </c>
      <c r="J25" s="183">
        <f t="shared" si="12"/>
        <v>0</v>
      </c>
      <c r="K25" s="183">
        <f t="shared" si="12"/>
        <v>0</v>
      </c>
      <c r="L25" s="183">
        <f t="shared" si="12"/>
        <v>0</v>
      </c>
      <c r="M25" s="183">
        <f t="shared" si="12"/>
        <v>0</v>
      </c>
      <c r="N25" s="183">
        <f t="shared" si="12"/>
        <v>0</v>
      </c>
      <c r="O25" s="183">
        <f t="shared" si="12"/>
        <v>0</v>
      </c>
      <c r="P25" s="200">
        <f t="shared" si="12"/>
        <v>0</v>
      </c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</row>
    <row r="26" spans="1:36" ht="15.75" customHeight="1">
      <c r="A26" s="994"/>
      <c r="B26" s="182" t="s">
        <v>170</v>
      </c>
      <c r="C26" s="512" t="s">
        <v>888</v>
      </c>
      <c r="D26" s="1000"/>
      <c r="E26" s="328">
        <v>225860</v>
      </c>
      <c r="F26" s="328">
        <v>250240</v>
      </c>
      <c r="G26" s="328"/>
      <c r="H26" s="328"/>
      <c r="I26" s="328"/>
      <c r="J26" s="328"/>
      <c r="K26" s="328"/>
      <c r="L26" s="328"/>
      <c r="M26" s="328"/>
      <c r="N26" s="328"/>
      <c r="O26" s="328"/>
      <c r="P26" s="329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</row>
    <row r="27" spans="1:36" ht="15.75" customHeight="1" thickBot="1">
      <c r="A27" s="995"/>
      <c r="B27" s="201" t="s">
        <v>171</v>
      </c>
      <c r="C27" s="513" t="s">
        <v>163</v>
      </c>
      <c r="D27" s="1001"/>
      <c r="E27" s="202">
        <f t="shared" ref="E27:P27" si="13">IF(E26&gt;0,E26/E25,0)</f>
        <v>14116.25</v>
      </c>
      <c r="F27" s="202">
        <f t="shared" si="13"/>
        <v>14720</v>
      </c>
      <c r="G27" s="202">
        <f t="shared" si="13"/>
        <v>0</v>
      </c>
      <c r="H27" s="202">
        <f t="shared" si="13"/>
        <v>0</v>
      </c>
      <c r="I27" s="202">
        <f t="shared" si="13"/>
        <v>0</v>
      </c>
      <c r="J27" s="202">
        <f t="shared" si="13"/>
        <v>0</v>
      </c>
      <c r="K27" s="202">
        <f t="shared" si="13"/>
        <v>0</v>
      </c>
      <c r="L27" s="202">
        <f t="shared" si="13"/>
        <v>0</v>
      </c>
      <c r="M27" s="202">
        <f t="shared" si="13"/>
        <v>0</v>
      </c>
      <c r="N27" s="202">
        <f t="shared" si="13"/>
        <v>0</v>
      </c>
      <c r="O27" s="202">
        <f t="shared" si="13"/>
        <v>0</v>
      </c>
      <c r="P27" s="203">
        <f t="shared" si="13"/>
        <v>0</v>
      </c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  <c r="AJ27" s="101"/>
    </row>
    <row r="28" spans="1:36" ht="15.75" customHeight="1">
      <c r="A28" s="996">
        <v>7</v>
      </c>
      <c r="B28" s="191" t="s">
        <v>156</v>
      </c>
      <c r="C28" s="212" t="s">
        <v>157</v>
      </c>
      <c r="D28" s="221">
        <v>250</v>
      </c>
      <c r="E28" s="192">
        <v>267</v>
      </c>
      <c r="F28" s="192">
        <v>289</v>
      </c>
      <c r="G28" s="192"/>
      <c r="H28" s="192"/>
      <c r="I28" s="192"/>
      <c r="J28" s="192"/>
      <c r="K28" s="192"/>
      <c r="L28" s="192"/>
      <c r="M28" s="192"/>
      <c r="N28" s="192"/>
      <c r="O28" s="192"/>
      <c r="P28" s="222"/>
      <c r="Q28" s="101"/>
      <c r="R28" s="101" t="s">
        <v>876</v>
      </c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</row>
    <row r="29" spans="1:36" ht="15.75" customHeight="1">
      <c r="A29" s="997"/>
      <c r="B29" s="178" t="s">
        <v>158</v>
      </c>
      <c r="C29" s="511" t="s">
        <v>933</v>
      </c>
      <c r="D29" s="975"/>
      <c r="E29" s="179">
        <f t="shared" ref="E29:P29" si="14">IF(E28&gt;0,E28-D28,0)</f>
        <v>17</v>
      </c>
      <c r="F29" s="179">
        <f t="shared" si="14"/>
        <v>22</v>
      </c>
      <c r="G29" s="179">
        <f t="shared" si="14"/>
        <v>0</v>
      </c>
      <c r="H29" s="179">
        <f t="shared" si="14"/>
        <v>0</v>
      </c>
      <c r="I29" s="179">
        <f t="shared" si="14"/>
        <v>0</v>
      </c>
      <c r="J29" s="179">
        <f t="shared" si="14"/>
        <v>0</v>
      </c>
      <c r="K29" s="179">
        <f t="shared" si="14"/>
        <v>0</v>
      </c>
      <c r="L29" s="179">
        <f t="shared" si="14"/>
        <v>0</v>
      </c>
      <c r="M29" s="179">
        <f t="shared" si="14"/>
        <v>0</v>
      </c>
      <c r="N29" s="179">
        <f t="shared" si="14"/>
        <v>0</v>
      </c>
      <c r="O29" s="179">
        <f t="shared" si="14"/>
        <v>0</v>
      </c>
      <c r="P29" s="218">
        <f t="shared" si="14"/>
        <v>0</v>
      </c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</row>
    <row r="30" spans="1:36" ht="15.75" customHeight="1">
      <c r="A30" s="997"/>
      <c r="B30" s="178" t="s">
        <v>159</v>
      </c>
      <c r="C30" s="511" t="s">
        <v>934</v>
      </c>
      <c r="D30" s="976"/>
      <c r="E30" s="179">
        <v>239775</v>
      </c>
      <c r="F30" s="179">
        <v>323840</v>
      </c>
      <c r="G30" s="179"/>
      <c r="H30" s="179"/>
      <c r="I30" s="179"/>
      <c r="J30" s="179"/>
      <c r="K30" s="179"/>
      <c r="L30" s="179"/>
      <c r="M30" s="179"/>
      <c r="N30" s="179"/>
      <c r="O30" s="179"/>
      <c r="P30" s="218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</row>
    <row r="31" spans="1:36" ht="15.75" customHeight="1" thickBot="1">
      <c r="A31" s="998"/>
      <c r="B31" s="186" t="s">
        <v>161</v>
      </c>
      <c r="C31" s="213" t="s">
        <v>163</v>
      </c>
      <c r="D31" s="989"/>
      <c r="E31" s="188">
        <f t="shared" ref="E31:P31" si="15">IF(E30&gt;0,E30/E29,0)</f>
        <v>14104.411764705883</v>
      </c>
      <c r="F31" s="188">
        <f t="shared" si="15"/>
        <v>14720</v>
      </c>
      <c r="G31" s="188">
        <f t="shared" si="15"/>
        <v>0</v>
      </c>
      <c r="H31" s="188">
        <f t="shared" si="15"/>
        <v>0</v>
      </c>
      <c r="I31" s="188">
        <f t="shared" si="15"/>
        <v>0</v>
      </c>
      <c r="J31" s="188">
        <f t="shared" si="15"/>
        <v>0</v>
      </c>
      <c r="K31" s="188">
        <f t="shared" si="15"/>
        <v>0</v>
      </c>
      <c r="L31" s="188">
        <f t="shared" si="15"/>
        <v>0</v>
      </c>
      <c r="M31" s="188">
        <f t="shared" si="15"/>
        <v>0</v>
      </c>
      <c r="N31" s="188">
        <f t="shared" si="15"/>
        <v>0</v>
      </c>
      <c r="O31" s="188">
        <f t="shared" si="15"/>
        <v>0</v>
      </c>
      <c r="P31" s="219">
        <f t="shared" si="15"/>
        <v>0</v>
      </c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</row>
    <row r="32" spans="1:36" ht="15.75" customHeight="1">
      <c r="A32" s="993">
        <v>8</v>
      </c>
      <c r="B32" s="197" t="s">
        <v>192</v>
      </c>
      <c r="C32" s="212" t="s">
        <v>157</v>
      </c>
      <c r="D32" s="220">
        <v>2615</v>
      </c>
      <c r="E32" s="198">
        <v>2747</v>
      </c>
      <c r="F32" s="198">
        <v>2873</v>
      </c>
      <c r="G32" s="198"/>
      <c r="H32" s="198"/>
      <c r="I32" s="198"/>
      <c r="J32" s="198"/>
      <c r="K32" s="198"/>
      <c r="L32" s="198"/>
      <c r="M32" s="198"/>
      <c r="N32" s="198"/>
      <c r="O32" s="198"/>
      <c r="P32" s="199"/>
      <c r="Q32" s="101"/>
      <c r="R32" s="101" t="s">
        <v>876</v>
      </c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</row>
    <row r="33" spans="1:36" ht="15.75" customHeight="1">
      <c r="A33" s="994"/>
      <c r="B33" s="182" t="s">
        <v>158</v>
      </c>
      <c r="C33" s="511" t="s">
        <v>933</v>
      </c>
      <c r="D33" s="1002"/>
      <c r="E33" s="183">
        <f t="shared" ref="E33:P33" si="16">IF(E32&gt;0,E32-D32,0)</f>
        <v>132</v>
      </c>
      <c r="F33" s="183">
        <f t="shared" si="16"/>
        <v>126</v>
      </c>
      <c r="G33" s="183">
        <f t="shared" si="16"/>
        <v>0</v>
      </c>
      <c r="H33" s="183">
        <f t="shared" si="16"/>
        <v>0</v>
      </c>
      <c r="I33" s="183">
        <f t="shared" si="16"/>
        <v>0</v>
      </c>
      <c r="J33" s="183">
        <f t="shared" si="16"/>
        <v>0</v>
      </c>
      <c r="K33" s="183">
        <f t="shared" si="16"/>
        <v>0</v>
      </c>
      <c r="L33" s="183">
        <f t="shared" si="16"/>
        <v>0</v>
      </c>
      <c r="M33" s="183">
        <f t="shared" si="16"/>
        <v>0</v>
      </c>
      <c r="N33" s="183">
        <f t="shared" si="16"/>
        <v>0</v>
      </c>
      <c r="O33" s="183">
        <f t="shared" si="16"/>
        <v>0</v>
      </c>
      <c r="P33" s="200">
        <f t="shared" si="16"/>
        <v>0</v>
      </c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</row>
    <row r="34" spans="1:36" ht="15.75" customHeight="1">
      <c r="A34" s="994"/>
      <c r="B34" s="182" t="s">
        <v>195</v>
      </c>
      <c r="C34" s="511" t="s">
        <v>934</v>
      </c>
      <c r="D34" s="994"/>
      <c r="E34" s="183">
        <v>1864150</v>
      </c>
      <c r="F34" s="183">
        <v>1854720</v>
      </c>
      <c r="G34" s="183"/>
      <c r="H34" s="183"/>
      <c r="I34" s="183"/>
      <c r="J34" s="183"/>
      <c r="K34" s="183"/>
      <c r="L34" s="183"/>
      <c r="M34" s="183"/>
      <c r="N34" s="183"/>
      <c r="O34" s="183"/>
      <c r="P34" s="200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</row>
    <row r="35" spans="1:36" ht="15.75" customHeight="1" thickBot="1">
      <c r="A35" s="995"/>
      <c r="B35" s="201" t="s">
        <v>196</v>
      </c>
      <c r="C35" s="213" t="s">
        <v>163</v>
      </c>
      <c r="D35" s="995"/>
      <c r="E35" s="202">
        <f t="shared" ref="E35:P35" si="17">IF(E34&gt;0,E34/E33,0)</f>
        <v>14122.348484848484</v>
      </c>
      <c r="F35" s="202">
        <f t="shared" si="17"/>
        <v>14720</v>
      </c>
      <c r="G35" s="202">
        <f t="shared" si="17"/>
        <v>0</v>
      </c>
      <c r="H35" s="202">
        <f t="shared" si="17"/>
        <v>0</v>
      </c>
      <c r="I35" s="202">
        <f t="shared" si="17"/>
        <v>0</v>
      </c>
      <c r="J35" s="202">
        <f t="shared" si="17"/>
        <v>0</v>
      </c>
      <c r="K35" s="202">
        <f t="shared" si="17"/>
        <v>0</v>
      </c>
      <c r="L35" s="202">
        <f t="shared" si="17"/>
        <v>0</v>
      </c>
      <c r="M35" s="202">
        <f t="shared" si="17"/>
        <v>0</v>
      </c>
      <c r="N35" s="202">
        <f t="shared" si="17"/>
        <v>0</v>
      </c>
      <c r="O35" s="202">
        <f t="shared" si="17"/>
        <v>0</v>
      </c>
      <c r="P35" s="203">
        <f t="shared" si="17"/>
        <v>0</v>
      </c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</row>
    <row r="36" spans="1:36" ht="15.75" customHeight="1">
      <c r="A36" s="195"/>
      <c r="B36" s="1003" t="s">
        <v>790</v>
      </c>
      <c r="C36" s="1004"/>
      <c r="D36" s="867" t="s">
        <v>934</v>
      </c>
      <c r="E36" s="196">
        <f t="shared" ref="E36:P36" si="18">SUMIF($C$4:$C$35,$D$36,E4:E35)</f>
        <v>5756335</v>
      </c>
      <c r="F36" s="196">
        <f t="shared" si="18"/>
        <v>5444560</v>
      </c>
      <c r="G36" s="196">
        <f t="shared" si="18"/>
        <v>0</v>
      </c>
      <c r="H36" s="196">
        <f t="shared" si="18"/>
        <v>0</v>
      </c>
      <c r="I36" s="196">
        <f t="shared" si="18"/>
        <v>0</v>
      </c>
      <c r="J36" s="196">
        <f t="shared" si="18"/>
        <v>0</v>
      </c>
      <c r="K36" s="196">
        <f t="shared" si="18"/>
        <v>0</v>
      </c>
      <c r="L36" s="196">
        <f t="shared" si="18"/>
        <v>0</v>
      </c>
      <c r="M36" s="196">
        <f t="shared" si="18"/>
        <v>0</v>
      </c>
      <c r="N36" s="196">
        <f t="shared" si="18"/>
        <v>0</v>
      </c>
      <c r="O36" s="196">
        <f t="shared" si="18"/>
        <v>0</v>
      </c>
      <c r="P36" s="196">
        <f t="shared" si="18"/>
        <v>0</v>
      </c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</row>
    <row r="37" spans="1:36" ht="12.75" customHeight="1">
      <c r="B37" s="967" t="s">
        <v>791</v>
      </c>
      <c r="C37" s="968"/>
      <c r="D37" s="968"/>
      <c r="E37" s="90">
        <f t="shared" ref="E37:P37" si="19">E36-E34</f>
        <v>3892185</v>
      </c>
      <c r="F37" s="90">
        <f t="shared" si="19"/>
        <v>3589840</v>
      </c>
      <c r="G37" s="90">
        <f t="shared" si="19"/>
        <v>0</v>
      </c>
      <c r="H37" s="90">
        <f t="shared" si="19"/>
        <v>0</v>
      </c>
      <c r="I37" s="90">
        <f t="shared" si="19"/>
        <v>0</v>
      </c>
      <c r="J37" s="90">
        <f t="shared" si="19"/>
        <v>0</v>
      </c>
      <c r="K37" s="90">
        <f t="shared" si="19"/>
        <v>0</v>
      </c>
      <c r="L37" s="90">
        <f t="shared" si="19"/>
        <v>0</v>
      </c>
      <c r="M37" s="90">
        <f t="shared" si="19"/>
        <v>0</v>
      </c>
      <c r="N37" s="90">
        <f t="shared" si="19"/>
        <v>0</v>
      </c>
      <c r="O37" s="90">
        <f t="shared" si="19"/>
        <v>0</v>
      </c>
      <c r="P37" s="90">
        <f t="shared" si="19"/>
        <v>0</v>
      </c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</row>
    <row r="38" spans="1:36" ht="15.75" customHeight="1">
      <c r="A38" s="9"/>
      <c r="B38" s="900" t="s">
        <v>197</v>
      </c>
      <c r="C38" s="895"/>
      <c r="D38" s="895"/>
      <c r="E38" s="895"/>
      <c r="F38" s="895"/>
      <c r="G38" s="895"/>
      <c r="H38" s="895"/>
      <c r="I38" s="895"/>
      <c r="J38" s="895"/>
      <c r="K38" s="101" t="s">
        <v>152</v>
      </c>
      <c r="L38" s="9"/>
      <c r="M38" s="101"/>
      <c r="N38" s="101" t="s">
        <v>198</v>
      </c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</row>
    <row r="39" spans="1:36" ht="15.75" customHeight="1" thickBot="1">
      <c r="A39" s="9"/>
      <c r="B39" s="15"/>
      <c r="C39" s="9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</row>
    <row r="40" spans="1:36" ht="15.75" customHeight="1" thickBot="1">
      <c r="A40" s="116" t="s">
        <v>3</v>
      </c>
      <c r="B40" s="117" t="s">
        <v>199</v>
      </c>
      <c r="C40" s="118" t="s">
        <v>67</v>
      </c>
      <c r="D40" s="102" t="s">
        <v>89</v>
      </c>
      <c r="E40" s="103" t="s">
        <v>90</v>
      </c>
      <c r="F40" s="103" t="s">
        <v>91</v>
      </c>
      <c r="G40" s="796" t="s">
        <v>92</v>
      </c>
      <c r="H40" s="103" t="s">
        <v>93</v>
      </c>
      <c r="I40" s="103" t="s">
        <v>94</v>
      </c>
      <c r="J40" s="103" t="s">
        <v>95</v>
      </c>
      <c r="K40" s="103" t="s">
        <v>96</v>
      </c>
      <c r="L40" s="103" t="s">
        <v>97</v>
      </c>
      <c r="M40" s="103" t="s">
        <v>98</v>
      </c>
      <c r="N40" s="103" t="s">
        <v>99</v>
      </c>
      <c r="O40" s="103" t="s">
        <v>100</v>
      </c>
      <c r="P40" s="104" t="s">
        <v>101</v>
      </c>
      <c r="Q40" s="82"/>
      <c r="R40" s="795" t="s">
        <v>982</v>
      </c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</row>
    <row r="41" spans="1:36" ht="16.5" customHeight="1">
      <c r="A41" s="987">
        <v>1</v>
      </c>
      <c r="B41" s="120" t="s">
        <v>203</v>
      </c>
      <c r="C41" s="512" t="s">
        <v>157</v>
      </c>
      <c r="D41" s="621">
        <v>7371</v>
      </c>
      <c r="E41" s="122">
        <v>7631</v>
      </c>
      <c r="F41" s="123">
        <v>7931</v>
      </c>
      <c r="G41" s="123"/>
      <c r="H41" s="123"/>
      <c r="I41" s="123"/>
      <c r="J41" s="123"/>
      <c r="K41" s="123"/>
      <c r="L41" s="123"/>
      <c r="M41" s="123"/>
      <c r="N41" s="123"/>
      <c r="O41" s="123"/>
      <c r="P41" s="124"/>
      <c r="Q41" s="125"/>
      <c r="R41" s="125">
        <v>8043</v>
      </c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</row>
    <row r="42" spans="1:36" ht="15.75" customHeight="1">
      <c r="A42" s="943"/>
      <c r="B42" s="105" t="s">
        <v>208</v>
      </c>
      <c r="C42" s="512" t="s">
        <v>887</v>
      </c>
      <c r="D42" s="622" t="str">
        <f>RIGHT(B41,4)</f>
        <v>6847</v>
      </c>
      <c r="E42" s="106">
        <f t="shared" ref="E42:P42" si="20">IF(E41&gt;0,E41-D41,0)</f>
        <v>260</v>
      </c>
      <c r="F42" s="107">
        <f t="shared" si="20"/>
        <v>300</v>
      </c>
      <c r="G42" s="107">
        <f>R41-F41+G41</f>
        <v>112</v>
      </c>
      <c r="H42" s="107">
        <f t="shared" si="20"/>
        <v>0</v>
      </c>
      <c r="I42" s="107">
        <f t="shared" si="20"/>
        <v>0</v>
      </c>
      <c r="J42" s="107">
        <f t="shared" si="20"/>
        <v>0</v>
      </c>
      <c r="K42" s="107">
        <f t="shared" si="20"/>
        <v>0</v>
      </c>
      <c r="L42" s="107">
        <f t="shared" si="20"/>
        <v>0</v>
      </c>
      <c r="M42" s="107">
        <f t="shared" si="20"/>
        <v>0</v>
      </c>
      <c r="N42" s="107">
        <f t="shared" si="20"/>
        <v>0</v>
      </c>
      <c r="O42" s="107">
        <f t="shared" si="20"/>
        <v>0</v>
      </c>
      <c r="P42" s="108">
        <f t="shared" si="20"/>
        <v>0</v>
      </c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</row>
    <row r="43" spans="1:36" ht="15.75" customHeight="1">
      <c r="A43" s="943"/>
      <c r="B43" s="105" t="s">
        <v>190</v>
      </c>
      <c r="C43" s="512" t="s">
        <v>888</v>
      </c>
      <c r="D43" s="945" t="s">
        <v>165</v>
      </c>
      <c r="E43" s="330">
        <v>581951</v>
      </c>
      <c r="F43" s="331">
        <v>688160</v>
      </c>
      <c r="G43" s="331"/>
      <c r="H43" s="331"/>
      <c r="I43" s="331"/>
      <c r="J43" s="331"/>
      <c r="K43" s="331"/>
      <c r="L43" s="331"/>
      <c r="M43" s="331"/>
      <c r="N43" s="331"/>
      <c r="O43" s="331"/>
      <c r="P43" s="332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  <c r="AJ43" s="101"/>
    </row>
    <row r="44" spans="1:36" ht="15.75" customHeight="1" thickBot="1">
      <c r="A44" s="988"/>
      <c r="B44" s="126" t="s">
        <v>209</v>
      </c>
      <c r="C44" s="513" t="s">
        <v>163</v>
      </c>
      <c r="D44" s="946"/>
      <c r="E44" s="110">
        <f t="shared" ref="E44:P44" si="21">IF(E43&gt;0,E43/E42,0)</f>
        <v>2238.273076923077</v>
      </c>
      <c r="F44" s="97">
        <f t="shared" si="21"/>
        <v>2293.8666666666668</v>
      </c>
      <c r="G44" s="97">
        <f t="shared" si="21"/>
        <v>0</v>
      </c>
      <c r="H44" s="97">
        <f t="shared" si="21"/>
        <v>0</v>
      </c>
      <c r="I44" s="97">
        <f t="shared" si="21"/>
        <v>0</v>
      </c>
      <c r="J44" s="97">
        <f t="shared" si="21"/>
        <v>0</v>
      </c>
      <c r="K44" s="97">
        <f t="shared" si="21"/>
        <v>0</v>
      </c>
      <c r="L44" s="97">
        <f t="shared" si="21"/>
        <v>0</v>
      </c>
      <c r="M44" s="97">
        <f t="shared" si="21"/>
        <v>0</v>
      </c>
      <c r="N44" s="97">
        <f t="shared" si="21"/>
        <v>0</v>
      </c>
      <c r="O44" s="97">
        <f t="shared" si="21"/>
        <v>0</v>
      </c>
      <c r="P44" s="98">
        <f t="shared" si="21"/>
        <v>0</v>
      </c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</row>
    <row r="45" spans="1:36" ht="16.5" customHeight="1">
      <c r="A45" s="952">
        <v>2</v>
      </c>
      <c r="B45" s="127" t="s">
        <v>210</v>
      </c>
      <c r="C45" s="212" t="s">
        <v>157</v>
      </c>
      <c r="D45" s="623">
        <v>3303</v>
      </c>
      <c r="E45" s="122">
        <v>3368</v>
      </c>
      <c r="F45" s="123">
        <v>3424</v>
      </c>
      <c r="G45" s="123"/>
      <c r="H45" s="123"/>
      <c r="I45" s="123"/>
      <c r="J45" s="123"/>
      <c r="K45" s="123"/>
      <c r="L45" s="123"/>
      <c r="M45" s="123"/>
      <c r="N45" s="123"/>
      <c r="O45" s="123"/>
      <c r="P45" s="124"/>
      <c r="Q45" s="125"/>
      <c r="R45" s="125">
        <v>3453</v>
      </c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</row>
    <row r="46" spans="1:36" ht="15.75" customHeight="1">
      <c r="A46" s="943"/>
      <c r="B46" s="111" t="s">
        <v>212</v>
      </c>
      <c r="C46" s="511" t="s">
        <v>933</v>
      </c>
      <c r="D46" s="622" t="str">
        <f>RIGHT(B45,4)</f>
        <v>6849</v>
      </c>
      <c r="E46" s="106">
        <f t="shared" ref="E46" si="22">IF(E45&gt;0,E45-D45,0)</f>
        <v>65</v>
      </c>
      <c r="F46" s="107">
        <f t="shared" ref="F46" si="23">IF(F45&gt;0,F45-E45,0)</f>
        <v>56</v>
      </c>
      <c r="G46" s="107">
        <f>R45-F45+G45</f>
        <v>29</v>
      </c>
      <c r="H46" s="107">
        <f t="shared" ref="H46" si="24">IF(H45&gt;0,H45-G45,0)</f>
        <v>0</v>
      </c>
      <c r="I46" s="107">
        <f t="shared" ref="I46" si="25">IF(I45&gt;0,I45-H45,0)</f>
        <v>0</v>
      </c>
      <c r="J46" s="107">
        <f t="shared" ref="J46" si="26">IF(J45&gt;0,J45-I45,0)</f>
        <v>0</v>
      </c>
      <c r="K46" s="107">
        <f t="shared" ref="K46" si="27">IF(K45&gt;0,K45-J45,0)</f>
        <v>0</v>
      </c>
      <c r="L46" s="107">
        <f t="shared" ref="L46" si="28">IF(L45&gt;0,L45-K45,0)</f>
        <v>0</v>
      </c>
      <c r="M46" s="107">
        <f t="shared" ref="M46" si="29">IF(M45&gt;0,M45-L45,0)</f>
        <v>0</v>
      </c>
      <c r="N46" s="107">
        <f t="shared" ref="N46" si="30">IF(N45&gt;0,N45-M45,0)</f>
        <v>0</v>
      </c>
      <c r="O46" s="107">
        <f t="shared" ref="O46" si="31">IF(O45&gt;0,O45-N45,0)</f>
        <v>0</v>
      </c>
      <c r="P46" s="108">
        <f t="shared" ref="P46" si="32">IF(P45&gt;0,P45-O45,0)</f>
        <v>0</v>
      </c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</row>
    <row r="47" spans="1:36" ht="15.75" customHeight="1">
      <c r="A47" s="943"/>
      <c r="B47" s="111" t="s">
        <v>175</v>
      </c>
      <c r="C47" s="511" t="s">
        <v>934</v>
      </c>
      <c r="D47" s="945"/>
      <c r="E47" s="330">
        <v>121024</v>
      </c>
      <c r="F47" s="331">
        <v>103734</v>
      </c>
      <c r="G47" s="331"/>
      <c r="H47" s="331"/>
      <c r="I47" s="331"/>
      <c r="J47" s="331"/>
      <c r="K47" s="331"/>
      <c r="L47" s="331"/>
      <c r="M47" s="331"/>
      <c r="N47" s="331"/>
      <c r="O47" s="331"/>
      <c r="P47" s="332"/>
      <c r="Q47" s="101"/>
      <c r="R47" s="101">
        <v>1</v>
      </c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101"/>
    </row>
    <row r="48" spans="1:36" ht="15.75" customHeight="1" thickBot="1">
      <c r="A48" s="944"/>
      <c r="B48" s="114" t="s">
        <v>214</v>
      </c>
      <c r="C48" s="213" t="s">
        <v>163</v>
      </c>
      <c r="D48" s="946"/>
      <c r="E48" s="110">
        <f t="shared" ref="E48:P48" si="33">IF(E47&gt;0,E47/E46,0)</f>
        <v>1861.9076923076923</v>
      </c>
      <c r="F48" s="97">
        <f t="shared" si="33"/>
        <v>1852.3928571428571</v>
      </c>
      <c r="G48" s="97">
        <f t="shared" si="33"/>
        <v>0</v>
      </c>
      <c r="H48" s="97">
        <f t="shared" si="33"/>
        <v>0</v>
      </c>
      <c r="I48" s="97">
        <f t="shared" si="33"/>
        <v>0</v>
      </c>
      <c r="J48" s="97">
        <f t="shared" si="33"/>
        <v>0</v>
      </c>
      <c r="K48" s="97">
        <f t="shared" si="33"/>
        <v>0</v>
      </c>
      <c r="L48" s="97">
        <f t="shared" si="33"/>
        <v>0</v>
      </c>
      <c r="M48" s="97">
        <f t="shared" si="33"/>
        <v>0</v>
      </c>
      <c r="N48" s="97">
        <f t="shared" si="33"/>
        <v>0</v>
      </c>
      <c r="O48" s="97">
        <f t="shared" si="33"/>
        <v>0</v>
      </c>
      <c r="P48" s="98">
        <f t="shared" si="33"/>
        <v>0</v>
      </c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  <c r="AJ48" s="101"/>
    </row>
    <row r="49" spans="1:36" ht="16.5" customHeight="1">
      <c r="A49" s="942">
        <v>3</v>
      </c>
      <c r="B49" s="128" t="s">
        <v>215</v>
      </c>
      <c r="C49" s="212" t="s">
        <v>157</v>
      </c>
      <c r="D49" s="624">
        <v>2716</v>
      </c>
      <c r="E49" s="122">
        <v>2774</v>
      </c>
      <c r="F49" s="123">
        <v>2878</v>
      </c>
      <c r="G49" s="123"/>
      <c r="H49" s="123"/>
      <c r="I49" s="123"/>
      <c r="J49" s="123"/>
      <c r="K49" s="123"/>
      <c r="L49" s="123"/>
      <c r="M49" s="123"/>
      <c r="N49" s="123"/>
      <c r="O49" s="123"/>
      <c r="P49" s="124"/>
      <c r="Q49" s="125"/>
      <c r="R49" s="125">
        <v>2878</v>
      </c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</row>
    <row r="50" spans="1:36" ht="15.75" customHeight="1">
      <c r="A50" s="943"/>
      <c r="B50" s="105" t="s">
        <v>216</v>
      </c>
      <c r="C50" s="511" t="s">
        <v>933</v>
      </c>
      <c r="D50" s="622" t="str">
        <f>RIGHT(B49,4)</f>
        <v>6848</v>
      </c>
      <c r="E50" s="106">
        <f t="shared" ref="E50" si="34">IF(E49&gt;0,E49-D49,0)</f>
        <v>58</v>
      </c>
      <c r="F50" s="107">
        <f t="shared" ref="F50" si="35">IF(F49&gt;0,F49-E49,0)</f>
        <v>104</v>
      </c>
      <c r="G50" s="107">
        <f>R49-F49+G49</f>
        <v>0</v>
      </c>
      <c r="H50" s="107">
        <f t="shared" ref="H50" si="36">IF(H49&gt;0,H49-G49,0)</f>
        <v>0</v>
      </c>
      <c r="I50" s="107">
        <f t="shared" ref="I50" si="37">IF(I49&gt;0,I49-H49,0)</f>
        <v>0</v>
      </c>
      <c r="J50" s="107">
        <f t="shared" ref="J50" si="38">IF(J49&gt;0,J49-I49,0)</f>
        <v>0</v>
      </c>
      <c r="K50" s="107">
        <f t="shared" ref="K50" si="39">IF(K49&gt;0,K49-J49,0)</f>
        <v>0</v>
      </c>
      <c r="L50" s="107">
        <f t="shared" ref="L50" si="40">IF(L49&gt;0,L49-K49,0)</f>
        <v>0</v>
      </c>
      <c r="M50" s="107">
        <f t="shared" ref="M50" si="41">IF(M49&gt;0,M49-L49,0)</f>
        <v>0</v>
      </c>
      <c r="N50" s="107">
        <f t="shared" ref="N50" si="42">IF(N49&gt;0,N49-M49,0)</f>
        <v>0</v>
      </c>
      <c r="O50" s="107">
        <f t="shared" ref="O50" si="43">IF(O49&gt;0,O49-N49,0)</f>
        <v>0</v>
      </c>
      <c r="P50" s="108">
        <f t="shared" ref="P50" si="44">IF(P49&gt;0,P49-O49,0)</f>
        <v>0</v>
      </c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  <c r="AJ50" s="101"/>
    </row>
    <row r="51" spans="1:36" ht="15.75" customHeight="1">
      <c r="A51" s="943"/>
      <c r="B51" s="105" t="s">
        <v>175</v>
      </c>
      <c r="C51" s="511" t="s">
        <v>934</v>
      </c>
      <c r="D51" s="945"/>
      <c r="E51" s="330">
        <v>107672</v>
      </c>
      <c r="F51" s="331">
        <v>196522</v>
      </c>
      <c r="G51" s="331"/>
      <c r="H51" s="331"/>
      <c r="I51" s="331"/>
      <c r="J51" s="331"/>
      <c r="K51" s="331"/>
      <c r="L51" s="331"/>
      <c r="M51" s="331"/>
      <c r="N51" s="331"/>
      <c r="O51" s="331"/>
      <c r="P51" s="332"/>
      <c r="Q51" s="101"/>
      <c r="R51" s="101">
        <v>1</v>
      </c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  <c r="AJ51" s="101"/>
    </row>
    <row r="52" spans="1:36" ht="15.75" customHeight="1" thickBot="1">
      <c r="A52" s="988"/>
      <c r="B52" s="109" t="s">
        <v>217</v>
      </c>
      <c r="C52" s="213" t="s">
        <v>163</v>
      </c>
      <c r="D52" s="946"/>
      <c r="E52" s="110">
        <f t="shared" ref="E52:P52" si="45">IF(E51&gt;0,E51/E50,0)</f>
        <v>1856.4137931034484</v>
      </c>
      <c r="F52" s="97">
        <f t="shared" si="45"/>
        <v>1889.6346153846155</v>
      </c>
      <c r="G52" s="97">
        <f t="shared" si="45"/>
        <v>0</v>
      </c>
      <c r="H52" s="97">
        <f t="shared" si="45"/>
        <v>0</v>
      </c>
      <c r="I52" s="97">
        <f t="shared" si="45"/>
        <v>0</v>
      </c>
      <c r="J52" s="97">
        <f t="shared" si="45"/>
        <v>0</v>
      </c>
      <c r="K52" s="97">
        <f t="shared" si="45"/>
        <v>0</v>
      </c>
      <c r="L52" s="97">
        <f t="shared" si="45"/>
        <v>0</v>
      </c>
      <c r="M52" s="97">
        <f t="shared" si="45"/>
        <v>0</v>
      </c>
      <c r="N52" s="97">
        <f t="shared" si="45"/>
        <v>0</v>
      </c>
      <c r="O52" s="97">
        <f t="shared" si="45"/>
        <v>0</v>
      </c>
      <c r="P52" s="98">
        <f t="shared" si="45"/>
        <v>0</v>
      </c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</row>
    <row r="53" spans="1:36" ht="16.5" customHeight="1">
      <c r="A53" s="952">
        <v>4</v>
      </c>
      <c r="B53" s="127" t="s">
        <v>218</v>
      </c>
      <c r="C53" s="212" t="s">
        <v>157</v>
      </c>
      <c r="D53" s="623">
        <v>63585</v>
      </c>
      <c r="E53" s="122">
        <v>66483</v>
      </c>
      <c r="F53" s="123">
        <v>69170</v>
      </c>
      <c r="G53" s="123"/>
      <c r="H53" s="123"/>
      <c r="I53" s="123"/>
      <c r="J53" s="123"/>
      <c r="K53" s="123"/>
      <c r="L53" s="123"/>
      <c r="M53" s="123"/>
      <c r="N53" s="123"/>
      <c r="O53" s="123"/>
      <c r="P53" s="124"/>
      <c r="Q53" s="125"/>
      <c r="R53" s="125">
        <v>70379</v>
      </c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</row>
    <row r="54" spans="1:36" ht="15.75" customHeight="1">
      <c r="A54" s="943"/>
      <c r="B54" s="111" t="s">
        <v>158</v>
      </c>
      <c r="C54" s="511" t="s">
        <v>933</v>
      </c>
      <c r="D54" s="622" t="str">
        <f>RIGHT(B53,4)</f>
        <v>6845</v>
      </c>
      <c r="E54" s="106">
        <f t="shared" ref="E54" si="46">IF(E53&gt;0,E53-D53,0)</f>
        <v>2898</v>
      </c>
      <c r="F54" s="107">
        <f t="shared" ref="F54" si="47">IF(F53&gt;0,F53-E53,0)</f>
        <v>2687</v>
      </c>
      <c r="G54" s="107">
        <f>R53-F53+G53</f>
        <v>1209</v>
      </c>
      <c r="H54" s="107">
        <f t="shared" ref="H54" si="48">IF(H53&gt;0,H53-G53,0)</f>
        <v>0</v>
      </c>
      <c r="I54" s="107">
        <f t="shared" ref="I54" si="49">IF(I53&gt;0,I53-H53,0)</f>
        <v>0</v>
      </c>
      <c r="J54" s="107">
        <f t="shared" ref="J54" si="50">IF(J53&gt;0,J53-I53,0)</f>
        <v>0</v>
      </c>
      <c r="K54" s="107">
        <f t="shared" ref="K54" si="51">IF(K53&gt;0,K53-J53,0)</f>
        <v>0</v>
      </c>
      <c r="L54" s="107">
        <f t="shared" ref="L54" si="52">IF(L53&gt;0,L53-K53,0)</f>
        <v>0</v>
      </c>
      <c r="M54" s="107">
        <f t="shared" ref="M54" si="53">IF(M53&gt;0,M53-L53,0)</f>
        <v>0</v>
      </c>
      <c r="N54" s="107">
        <f t="shared" ref="N54" si="54">IF(N53&gt;0,N53-M53,0)</f>
        <v>0</v>
      </c>
      <c r="O54" s="107">
        <f t="shared" ref="O54" si="55">IF(O53&gt;0,O53-N53,0)</f>
        <v>0</v>
      </c>
      <c r="P54" s="108">
        <f t="shared" ref="P54" si="56">IF(P53&gt;0,P53-O53,0)</f>
        <v>0</v>
      </c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</row>
    <row r="55" spans="1:36" ht="15.75" customHeight="1">
      <c r="A55" s="943"/>
      <c r="B55" s="111" t="s">
        <v>190</v>
      </c>
      <c r="C55" s="511" t="s">
        <v>934</v>
      </c>
      <c r="D55" s="945"/>
      <c r="E55" s="330">
        <v>5567808</v>
      </c>
      <c r="F55" s="331">
        <v>5071900</v>
      </c>
      <c r="G55" s="331"/>
      <c r="H55" s="331"/>
      <c r="I55" s="331"/>
      <c r="J55" s="331"/>
      <c r="K55" s="331"/>
      <c r="L55" s="331"/>
      <c r="M55" s="331"/>
      <c r="N55" s="331"/>
      <c r="O55" s="331"/>
      <c r="P55" s="332"/>
      <c r="Q55" s="101"/>
      <c r="R55" s="101">
        <v>1</v>
      </c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</row>
    <row r="56" spans="1:36" ht="15.75" customHeight="1" thickBot="1">
      <c r="A56" s="944"/>
      <c r="B56" s="114" t="s">
        <v>221</v>
      </c>
      <c r="C56" s="213" t="s">
        <v>163</v>
      </c>
      <c r="D56" s="946"/>
      <c r="E56" s="110">
        <f t="shared" ref="E56:P56" si="57">IF(E55&gt;0,E55/E54,0)</f>
        <v>1921.2587991718426</v>
      </c>
      <c r="F56" s="97">
        <f t="shared" si="57"/>
        <v>1887.569780424265</v>
      </c>
      <c r="G56" s="97">
        <f t="shared" si="57"/>
        <v>0</v>
      </c>
      <c r="H56" s="97">
        <f t="shared" si="57"/>
        <v>0</v>
      </c>
      <c r="I56" s="97">
        <f t="shared" si="57"/>
        <v>0</v>
      </c>
      <c r="J56" s="97">
        <f t="shared" si="57"/>
        <v>0</v>
      </c>
      <c r="K56" s="97">
        <f t="shared" si="57"/>
        <v>0</v>
      </c>
      <c r="L56" s="97">
        <f t="shared" si="57"/>
        <v>0</v>
      </c>
      <c r="M56" s="97">
        <f t="shared" si="57"/>
        <v>0</v>
      </c>
      <c r="N56" s="97">
        <f t="shared" si="57"/>
        <v>0</v>
      </c>
      <c r="O56" s="97">
        <f t="shared" si="57"/>
        <v>0</v>
      </c>
      <c r="P56" s="98">
        <f t="shared" si="57"/>
        <v>0</v>
      </c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</row>
    <row r="57" spans="1:36" ht="16.5" customHeight="1">
      <c r="A57" s="942">
        <v>5</v>
      </c>
      <c r="B57" s="128" t="s">
        <v>222</v>
      </c>
      <c r="C57" s="212" t="s">
        <v>157</v>
      </c>
      <c r="D57" s="624">
        <v>2743</v>
      </c>
      <c r="E57" s="122">
        <v>2924</v>
      </c>
      <c r="F57" s="123">
        <v>3117</v>
      </c>
      <c r="G57" s="123"/>
      <c r="H57" s="123"/>
      <c r="I57" s="123"/>
      <c r="J57" s="123"/>
      <c r="K57" s="123"/>
      <c r="L57" s="123"/>
      <c r="M57" s="123"/>
      <c r="N57" s="123"/>
      <c r="O57" s="123"/>
      <c r="P57" s="124"/>
      <c r="Q57" s="125"/>
      <c r="R57" s="125">
        <v>3195</v>
      </c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</row>
    <row r="58" spans="1:36" ht="15.75" customHeight="1">
      <c r="A58" s="943"/>
      <c r="B58" s="105" t="s">
        <v>223</v>
      </c>
      <c r="C58" s="511" t="s">
        <v>933</v>
      </c>
      <c r="D58" s="622" t="str">
        <f>RIGHT(B57,4)</f>
        <v>6846</v>
      </c>
      <c r="E58" s="106">
        <f t="shared" ref="E58" si="58">IF(E57&gt;0,E57-D57,0)</f>
        <v>181</v>
      </c>
      <c r="F58" s="107">
        <f t="shared" ref="F58" si="59">IF(F57&gt;0,F57-E57,0)</f>
        <v>193</v>
      </c>
      <c r="G58" s="107">
        <f>R57-F57+G57</f>
        <v>78</v>
      </c>
      <c r="H58" s="107">
        <f t="shared" ref="H58" si="60">IF(H57&gt;0,H57-G57,0)</f>
        <v>0</v>
      </c>
      <c r="I58" s="107">
        <f t="shared" ref="I58" si="61">IF(I57&gt;0,I57-H57,0)</f>
        <v>0</v>
      </c>
      <c r="J58" s="107">
        <f t="shared" ref="J58" si="62">IF(J57&gt;0,J57-I57,0)</f>
        <v>0</v>
      </c>
      <c r="K58" s="107">
        <f t="shared" ref="K58" si="63">IF(K57&gt;0,K57-J57,0)</f>
        <v>0</v>
      </c>
      <c r="L58" s="107">
        <f t="shared" ref="L58" si="64">IF(L57&gt;0,L57-K57,0)</f>
        <v>0</v>
      </c>
      <c r="M58" s="107">
        <f t="shared" ref="M58" si="65">IF(M57&gt;0,M57-L57,0)</f>
        <v>0</v>
      </c>
      <c r="N58" s="107">
        <f t="shared" ref="N58" si="66">IF(N57&gt;0,N57-M57,0)</f>
        <v>0</v>
      </c>
      <c r="O58" s="107">
        <f t="shared" ref="O58" si="67">IF(O57&gt;0,O57-N57,0)</f>
        <v>0</v>
      </c>
      <c r="P58" s="108">
        <f t="shared" ref="P58" si="68">IF(P57&gt;0,P57-O57,0)</f>
        <v>0</v>
      </c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</row>
    <row r="59" spans="1:36" ht="15.75" customHeight="1">
      <c r="A59" s="943"/>
      <c r="B59" s="105" t="s">
        <v>175</v>
      </c>
      <c r="C59" s="511" t="s">
        <v>934</v>
      </c>
      <c r="D59" s="945"/>
      <c r="E59" s="330">
        <v>368463</v>
      </c>
      <c r="F59" s="331">
        <v>393692</v>
      </c>
      <c r="G59" s="331"/>
      <c r="H59" s="331"/>
      <c r="I59" s="331"/>
      <c r="J59" s="331"/>
      <c r="K59" s="331"/>
      <c r="L59" s="331"/>
      <c r="M59" s="331"/>
      <c r="N59" s="331"/>
      <c r="O59" s="331"/>
      <c r="P59" s="332"/>
      <c r="Q59" s="101"/>
      <c r="R59" s="101">
        <v>1</v>
      </c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</row>
    <row r="60" spans="1:36" ht="17.25" customHeight="1" thickBot="1">
      <c r="A60" s="944"/>
      <c r="B60" s="129" t="s">
        <v>224</v>
      </c>
      <c r="C60" s="213" t="s">
        <v>163</v>
      </c>
      <c r="D60" s="946"/>
      <c r="E60" s="110">
        <f t="shared" ref="E60:P60" si="69">IF(E59&gt;0,E59/E58,0)</f>
        <v>2035.7071823204419</v>
      </c>
      <c r="F60" s="97">
        <f t="shared" si="69"/>
        <v>2039.8549222797928</v>
      </c>
      <c r="G60" s="97">
        <f t="shared" si="69"/>
        <v>0</v>
      </c>
      <c r="H60" s="97">
        <f t="shared" si="69"/>
        <v>0</v>
      </c>
      <c r="I60" s="97">
        <f t="shared" si="69"/>
        <v>0</v>
      </c>
      <c r="J60" s="97">
        <f t="shared" si="69"/>
        <v>0</v>
      </c>
      <c r="K60" s="97">
        <f t="shared" si="69"/>
        <v>0</v>
      </c>
      <c r="L60" s="97">
        <f t="shared" si="69"/>
        <v>0</v>
      </c>
      <c r="M60" s="97">
        <f t="shared" si="69"/>
        <v>0</v>
      </c>
      <c r="N60" s="97">
        <f t="shared" si="69"/>
        <v>0</v>
      </c>
      <c r="O60" s="97">
        <f t="shared" si="69"/>
        <v>0</v>
      </c>
      <c r="P60" s="98">
        <f t="shared" si="69"/>
        <v>0</v>
      </c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</row>
    <row r="61" spans="1:36" ht="16.5" customHeight="1">
      <c r="A61" s="952">
        <v>6</v>
      </c>
      <c r="B61" s="127" t="s">
        <v>227</v>
      </c>
      <c r="C61" s="212" t="s">
        <v>157</v>
      </c>
      <c r="D61" s="623">
        <v>2730</v>
      </c>
      <c r="E61" s="122">
        <v>2879</v>
      </c>
      <c r="F61" s="123">
        <v>2980</v>
      </c>
      <c r="G61" s="123"/>
      <c r="H61" s="123"/>
      <c r="I61" s="123"/>
      <c r="J61" s="123"/>
      <c r="K61" s="123"/>
      <c r="L61" s="123"/>
      <c r="M61" s="123"/>
      <c r="N61" s="123"/>
      <c r="O61" s="123"/>
      <c r="P61" s="124"/>
      <c r="Q61" s="125"/>
      <c r="R61" s="125">
        <v>3043</v>
      </c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</row>
    <row r="62" spans="1:36" ht="15.75" customHeight="1">
      <c r="A62" s="943"/>
      <c r="B62" s="111" t="s">
        <v>228</v>
      </c>
      <c r="C62" s="511" t="s">
        <v>933</v>
      </c>
      <c r="D62" s="622" t="str">
        <f>RIGHT(B61,4)</f>
        <v>6843</v>
      </c>
      <c r="E62" s="106">
        <f t="shared" ref="E62" si="70">IF(E61&gt;0,E61-D61,0)</f>
        <v>149</v>
      </c>
      <c r="F62" s="107">
        <f t="shared" ref="F62" si="71">IF(F61&gt;0,F61-E61,0)</f>
        <v>101</v>
      </c>
      <c r="G62" s="107">
        <f>R61-F61+G61</f>
        <v>63</v>
      </c>
      <c r="H62" s="107">
        <f t="shared" ref="H62" si="72">IF(H61&gt;0,H61-G61,0)</f>
        <v>0</v>
      </c>
      <c r="I62" s="107">
        <f t="shared" ref="I62" si="73">IF(I61&gt;0,I61-H61,0)</f>
        <v>0</v>
      </c>
      <c r="J62" s="107">
        <f t="shared" ref="J62" si="74">IF(J61&gt;0,J61-I61,0)</f>
        <v>0</v>
      </c>
      <c r="K62" s="107">
        <f t="shared" ref="K62" si="75">IF(K61&gt;0,K61-J61,0)</f>
        <v>0</v>
      </c>
      <c r="L62" s="107">
        <f t="shared" ref="L62" si="76">IF(L61&gt;0,L61-K61,0)</f>
        <v>0</v>
      </c>
      <c r="M62" s="107">
        <f t="shared" ref="M62" si="77">IF(M61&gt;0,M61-L61,0)</f>
        <v>0</v>
      </c>
      <c r="N62" s="107">
        <f t="shared" ref="N62" si="78">IF(N61&gt;0,N61-M61,0)</f>
        <v>0</v>
      </c>
      <c r="O62" s="107">
        <f t="shared" ref="O62" si="79">IF(O61&gt;0,O61-N61,0)</f>
        <v>0</v>
      </c>
      <c r="P62" s="108">
        <f t="shared" ref="P62" si="80">IF(P61&gt;0,P61-O61,0)</f>
        <v>0</v>
      </c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</row>
    <row r="63" spans="1:36" ht="15.75" customHeight="1">
      <c r="A63" s="943"/>
      <c r="B63" s="111" t="s">
        <v>175</v>
      </c>
      <c r="C63" s="511" t="s">
        <v>934</v>
      </c>
      <c r="D63" s="945"/>
      <c r="E63" s="330">
        <v>297570</v>
      </c>
      <c r="F63" s="331">
        <v>189875</v>
      </c>
      <c r="G63" s="331"/>
      <c r="H63" s="331"/>
      <c r="I63" s="331"/>
      <c r="J63" s="331"/>
      <c r="K63" s="331"/>
      <c r="L63" s="331"/>
      <c r="M63" s="331"/>
      <c r="N63" s="331"/>
      <c r="O63" s="331"/>
      <c r="P63" s="332"/>
      <c r="Q63" s="101"/>
      <c r="R63" s="101">
        <v>1</v>
      </c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</row>
    <row r="64" spans="1:36" ht="15.75" customHeight="1" thickBot="1">
      <c r="A64" s="944"/>
      <c r="B64" s="114" t="s">
        <v>229</v>
      </c>
      <c r="C64" s="213" t="s">
        <v>163</v>
      </c>
      <c r="D64" s="946"/>
      <c r="E64" s="110">
        <f t="shared" ref="E64:P64" si="81">IF(E63&gt;0,E63/E62,0)</f>
        <v>1997.1140939597315</v>
      </c>
      <c r="F64" s="97">
        <f t="shared" si="81"/>
        <v>1879.950495049505</v>
      </c>
      <c r="G64" s="97">
        <f t="shared" si="81"/>
        <v>0</v>
      </c>
      <c r="H64" s="97">
        <f t="shared" si="81"/>
        <v>0</v>
      </c>
      <c r="I64" s="97">
        <f t="shared" si="81"/>
        <v>0</v>
      </c>
      <c r="J64" s="97">
        <f t="shared" si="81"/>
        <v>0</v>
      </c>
      <c r="K64" s="97">
        <f t="shared" si="81"/>
        <v>0</v>
      </c>
      <c r="L64" s="97">
        <f t="shared" si="81"/>
        <v>0</v>
      </c>
      <c r="M64" s="97">
        <f t="shared" si="81"/>
        <v>0</v>
      </c>
      <c r="N64" s="97">
        <f t="shared" si="81"/>
        <v>0</v>
      </c>
      <c r="O64" s="97">
        <f t="shared" si="81"/>
        <v>0</v>
      </c>
      <c r="P64" s="98">
        <f t="shared" si="81"/>
        <v>0</v>
      </c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</row>
    <row r="65" spans="1:36" ht="16.5" customHeight="1">
      <c r="A65" s="987">
        <v>7</v>
      </c>
      <c r="B65" s="120" t="s">
        <v>230</v>
      </c>
      <c r="C65" s="212" t="s">
        <v>157</v>
      </c>
      <c r="D65" s="621">
        <v>3154</v>
      </c>
      <c r="E65" s="122">
        <v>3330</v>
      </c>
      <c r="F65" s="123">
        <v>3448</v>
      </c>
      <c r="G65" s="123"/>
      <c r="H65" s="123"/>
      <c r="I65" s="123"/>
      <c r="J65" s="123"/>
      <c r="K65" s="123"/>
      <c r="L65" s="123"/>
      <c r="M65" s="123"/>
      <c r="N65" s="123"/>
      <c r="O65" s="123"/>
      <c r="P65" s="124"/>
      <c r="Q65" s="125"/>
      <c r="R65" s="125">
        <v>3523</v>
      </c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</row>
    <row r="66" spans="1:36" ht="15.75" customHeight="1">
      <c r="A66" s="943"/>
      <c r="B66" s="105" t="s">
        <v>231</v>
      </c>
      <c r="C66" s="511" t="s">
        <v>933</v>
      </c>
      <c r="D66" s="622" t="str">
        <f>RIGHT(B65,4)</f>
        <v>6839</v>
      </c>
      <c r="E66" s="106">
        <f t="shared" ref="E66" si="82">IF(E65&gt;0,E65-D65,0)</f>
        <v>176</v>
      </c>
      <c r="F66" s="107">
        <f t="shared" ref="F66" si="83">IF(F65&gt;0,F65-E65,0)</f>
        <v>118</v>
      </c>
      <c r="G66" s="107">
        <f>R65-F65+G65</f>
        <v>75</v>
      </c>
      <c r="H66" s="107">
        <f t="shared" ref="H66" si="84">IF(H65&gt;0,H65-G65,0)</f>
        <v>0</v>
      </c>
      <c r="I66" s="107">
        <f t="shared" ref="I66" si="85">IF(I65&gt;0,I65-H65,0)</f>
        <v>0</v>
      </c>
      <c r="J66" s="107">
        <f t="shared" ref="J66" si="86">IF(J65&gt;0,J65-I65,0)</f>
        <v>0</v>
      </c>
      <c r="K66" s="107">
        <f t="shared" ref="K66" si="87">IF(K65&gt;0,K65-J65,0)</f>
        <v>0</v>
      </c>
      <c r="L66" s="107">
        <f t="shared" ref="L66" si="88">IF(L65&gt;0,L65-K65,0)</f>
        <v>0</v>
      </c>
      <c r="M66" s="107">
        <f t="shared" ref="M66" si="89">IF(M65&gt;0,M65-L65,0)</f>
        <v>0</v>
      </c>
      <c r="N66" s="107">
        <f t="shared" ref="N66" si="90">IF(N65&gt;0,N65-M65,0)</f>
        <v>0</v>
      </c>
      <c r="O66" s="107">
        <f t="shared" ref="O66" si="91">IF(O65&gt;0,O65-N65,0)</f>
        <v>0</v>
      </c>
      <c r="P66" s="108">
        <f t="shared" ref="P66" si="92">IF(P65&gt;0,P65-O65,0)</f>
        <v>0</v>
      </c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</row>
    <row r="67" spans="1:36" ht="15.75" customHeight="1">
      <c r="A67" s="943"/>
      <c r="B67" s="105" t="s">
        <v>175</v>
      </c>
      <c r="C67" s="511" t="s">
        <v>934</v>
      </c>
      <c r="D67" s="945"/>
      <c r="E67" s="330">
        <v>357386</v>
      </c>
      <c r="F67" s="331">
        <v>227537</v>
      </c>
      <c r="G67" s="331"/>
      <c r="H67" s="331"/>
      <c r="I67" s="331"/>
      <c r="J67" s="331"/>
      <c r="K67" s="331"/>
      <c r="L67" s="331"/>
      <c r="M67" s="331"/>
      <c r="N67" s="331"/>
      <c r="O67" s="331"/>
      <c r="P67" s="332"/>
      <c r="Q67" s="101"/>
      <c r="R67" s="101">
        <v>1</v>
      </c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</row>
    <row r="68" spans="1:36" ht="15.75" customHeight="1" thickBot="1">
      <c r="A68" s="988"/>
      <c r="B68" s="109" t="s">
        <v>232</v>
      </c>
      <c r="C68" s="213" t="s">
        <v>163</v>
      </c>
      <c r="D68" s="946"/>
      <c r="E68" s="110">
        <f t="shared" ref="E68:P68" si="93">IF(E67&gt;0,E67/E66,0)</f>
        <v>2030.6022727272727</v>
      </c>
      <c r="F68" s="97">
        <f t="shared" si="93"/>
        <v>1928.2796610169491</v>
      </c>
      <c r="G68" s="97">
        <f t="shared" si="93"/>
        <v>0</v>
      </c>
      <c r="H68" s="97">
        <f t="shared" si="93"/>
        <v>0</v>
      </c>
      <c r="I68" s="97">
        <f t="shared" si="93"/>
        <v>0</v>
      </c>
      <c r="J68" s="97">
        <f t="shared" si="93"/>
        <v>0</v>
      </c>
      <c r="K68" s="97">
        <f t="shared" si="93"/>
        <v>0</v>
      </c>
      <c r="L68" s="97">
        <f t="shared" si="93"/>
        <v>0</v>
      </c>
      <c r="M68" s="97">
        <f t="shared" si="93"/>
        <v>0</v>
      </c>
      <c r="N68" s="97">
        <f t="shared" si="93"/>
        <v>0</v>
      </c>
      <c r="O68" s="97">
        <f t="shared" si="93"/>
        <v>0</v>
      </c>
      <c r="P68" s="98">
        <f t="shared" si="93"/>
        <v>0</v>
      </c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</row>
    <row r="69" spans="1:36" ht="15.75" customHeight="1">
      <c r="A69" s="952">
        <v>8</v>
      </c>
      <c r="B69" s="127" t="s">
        <v>235</v>
      </c>
      <c r="C69" s="512" t="s">
        <v>157</v>
      </c>
      <c r="D69" s="623">
        <v>4822</v>
      </c>
      <c r="E69" s="122">
        <v>4967</v>
      </c>
      <c r="F69" s="123">
        <v>5102</v>
      </c>
      <c r="G69" s="123"/>
      <c r="H69" s="123"/>
      <c r="I69" s="123"/>
      <c r="J69" s="123"/>
      <c r="K69" s="123"/>
      <c r="L69" s="123"/>
      <c r="M69" s="123"/>
      <c r="N69" s="123"/>
      <c r="O69" s="123"/>
      <c r="P69" s="124"/>
      <c r="Q69" s="125"/>
      <c r="R69" s="125">
        <v>5182</v>
      </c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</row>
    <row r="70" spans="1:36" ht="15.75" customHeight="1">
      <c r="A70" s="943"/>
      <c r="B70" s="111" t="s">
        <v>236</v>
      </c>
      <c r="C70" s="512" t="s">
        <v>887</v>
      </c>
      <c r="D70" s="622" t="str">
        <f>RIGHT(B69,4)</f>
        <v>6996</v>
      </c>
      <c r="E70" s="106">
        <f t="shared" ref="E70" si="94">IF(E69&gt;0,E69-D69,0)</f>
        <v>145</v>
      </c>
      <c r="F70" s="107">
        <f t="shared" ref="F70" si="95">IF(F69&gt;0,F69-E69,0)</f>
        <v>135</v>
      </c>
      <c r="G70" s="107">
        <f>R69-F69+G69</f>
        <v>80</v>
      </c>
      <c r="H70" s="107">
        <f t="shared" ref="H70" si="96">IF(H69&gt;0,H69-G69,0)</f>
        <v>0</v>
      </c>
      <c r="I70" s="107">
        <f t="shared" ref="I70" si="97">IF(I69&gt;0,I69-H69,0)</f>
        <v>0</v>
      </c>
      <c r="J70" s="107">
        <f t="shared" ref="J70" si="98">IF(J69&gt;0,J69-I69,0)</f>
        <v>0</v>
      </c>
      <c r="K70" s="107">
        <f t="shared" ref="K70" si="99">IF(K69&gt;0,K69-J69,0)</f>
        <v>0</v>
      </c>
      <c r="L70" s="107">
        <f t="shared" ref="L70" si="100">IF(L69&gt;0,L69-K69,0)</f>
        <v>0</v>
      </c>
      <c r="M70" s="107">
        <f t="shared" ref="M70" si="101">IF(M69&gt;0,M69-L69,0)</f>
        <v>0</v>
      </c>
      <c r="N70" s="107">
        <f t="shared" ref="N70" si="102">IF(N69&gt;0,N69-M69,0)</f>
        <v>0</v>
      </c>
      <c r="O70" s="107">
        <f t="shared" ref="O70" si="103">IF(O69&gt;0,O69-N69,0)</f>
        <v>0</v>
      </c>
      <c r="P70" s="108">
        <f t="shared" ref="P70" si="104">IF(P69&gt;0,P69-O69,0)</f>
        <v>0</v>
      </c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</row>
    <row r="71" spans="1:36" ht="15.75" customHeight="1">
      <c r="A71" s="943"/>
      <c r="B71" s="111" t="s">
        <v>175</v>
      </c>
      <c r="C71" s="512" t="s">
        <v>888</v>
      </c>
      <c r="D71" s="945" t="s">
        <v>165</v>
      </c>
      <c r="E71" s="330">
        <v>288708</v>
      </c>
      <c r="F71" s="331">
        <v>265199</v>
      </c>
      <c r="G71" s="331"/>
      <c r="H71" s="331"/>
      <c r="I71" s="331"/>
      <c r="J71" s="331"/>
      <c r="K71" s="331"/>
      <c r="L71" s="331"/>
      <c r="M71" s="331"/>
      <c r="N71" s="331"/>
      <c r="O71" s="331"/>
      <c r="P71" s="332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</row>
    <row r="72" spans="1:36" ht="15.75" customHeight="1" thickBot="1">
      <c r="A72" s="944"/>
      <c r="B72" s="130" t="s">
        <v>237</v>
      </c>
      <c r="C72" s="513" t="s">
        <v>163</v>
      </c>
      <c r="D72" s="946"/>
      <c r="E72" s="110">
        <f t="shared" ref="E72:P72" si="105">IF(E71&gt;0,E71/E70,0)</f>
        <v>1991.0896551724138</v>
      </c>
      <c r="F72" s="97">
        <f t="shared" si="105"/>
        <v>1964.437037037037</v>
      </c>
      <c r="G72" s="97">
        <f t="shared" si="105"/>
        <v>0</v>
      </c>
      <c r="H72" s="97">
        <f t="shared" si="105"/>
        <v>0</v>
      </c>
      <c r="I72" s="97">
        <f t="shared" si="105"/>
        <v>0</v>
      </c>
      <c r="J72" s="97">
        <f t="shared" si="105"/>
        <v>0</v>
      </c>
      <c r="K72" s="97">
        <f t="shared" si="105"/>
        <v>0</v>
      </c>
      <c r="L72" s="97">
        <f t="shared" si="105"/>
        <v>0</v>
      </c>
      <c r="M72" s="97">
        <f t="shared" si="105"/>
        <v>0</v>
      </c>
      <c r="N72" s="97">
        <f t="shared" si="105"/>
        <v>0</v>
      </c>
      <c r="O72" s="97">
        <f t="shared" si="105"/>
        <v>0</v>
      </c>
      <c r="P72" s="98">
        <f t="shared" si="105"/>
        <v>0</v>
      </c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  <c r="AJ72" s="101"/>
    </row>
    <row r="73" spans="1:36" ht="15.75" customHeight="1">
      <c r="A73" s="942">
        <v>9</v>
      </c>
      <c r="B73" s="128" t="s">
        <v>238</v>
      </c>
      <c r="C73" s="512" t="s">
        <v>157</v>
      </c>
      <c r="D73" s="624">
        <v>3608</v>
      </c>
      <c r="E73" s="122">
        <v>3704</v>
      </c>
      <c r="F73" s="123">
        <v>3821</v>
      </c>
      <c r="G73" s="123"/>
      <c r="H73" s="123"/>
      <c r="I73" s="123"/>
      <c r="J73" s="123"/>
      <c r="K73" s="123"/>
      <c r="L73" s="123"/>
      <c r="M73" s="123"/>
      <c r="N73" s="123"/>
      <c r="O73" s="123"/>
      <c r="P73" s="124"/>
      <c r="Q73" s="125"/>
      <c r="R73" s="125">
        <v>3865</v>
      </c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</row>
    <row r="74" spans="1:36" ht="15.75" customHeight="1">
      <c r="A74" s="943"/>
      <c r="B74" s="105" t="s">
        <v>239</v>
      </c>
      <c r="C74" s="512" t="s">
        <v>887</v>
      </c>
      <c r="D74" s="622" t="str">
        <f>RIGHT(B73,4)</f>
        <v>1555</v>
      </c>
      <c r="E74" s="106">
        <f t="shared" ref="E74" si="106">IF(E73&gt;0,E73-D73,0)</f>
        <v>96</v>
      </c>
      <c r="F74" s="107">
        <f t="shared" ref="F74" si="107">IF(F73&gt;0,F73-E73,0)</f>
        <v>117</v>
      </c>
      <c r="G74" s="107">
        <f>R73-F73+G73</f>
        <v>44</v>
      </c>
      <c r="H74" s="107">
        <f t="shared" ref="H74" si="108">IF(H73&gt;0,H73-G73,0)</f>
        <v>0</v>
      </c>
      <c r="I74" s="107">
        <f t="shared" ref="I74" si="109">IF(I73&gt;0,I73-H73,0)</f>
        <v>0</v>
      </c>
      <c r="J74" s="107">
        <f t="shared" ref="J74" si="110">IF(J73&gt;0,J73-I73,0)</f>
        <v>0</v>
      </c>
      <c r="K74" s="107">
        <f t="shared" ref="K74" si="111">IF(K73&gt;0,K73-J73,0)</f>
        <v>0</v>
      </c>
      <c r="L74" s="107">
        <f t="shared" ref="L74" si="112">IF(L73&gt;0,L73-K73,0)</f>
        <v>0</v>
      </c>
      <c r="M74" s="107">
        <f t="shared" ref="M74" si="113">IF(M73&gt;0,M73-L73,0)</f>
        <v>0</v>
      </c>
      <c r="N74" s="107">
        <f t="shared" ref="N74" si="114">IF(N73&gt;0,N73-M73,0)</f>
        <v>0</v>
      </c>
      <c r="O74" s="107">
        <f t="shared" ref="O74" si="115">IF(O73&gt;0,O73-N73,0)</f>
        <v>0</v>
      </c>
      <c r="P74" s="108">
        <f t="shared" ref="P74" si="116">IF(P73&gt;0,P73-O73,0)</f>
        <v>0</v>
      </c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</row>
    <row r="75" spans="1:36" ht="15.75" customHeight="1">
      <c r="A75" s="943"/>
      <c r="B75" s="105" t="s">
        <v>175</v>
      </c>
      <c r="C75" s="512" t="s">
        <v>888</v>
      </c>
      <c r="D75" s="945" t="s">
        <v>165</v>
      </c>
      <c r="E75" s="330">
        <v>180154</v>
      </c>
      <c r="F75" s="331">
        <v>225322</v>
      </c>
      <c r="G75" s="331"/>
      <c r="H75" s="331"/>
      <c r="I75" s="331"/>
      <c r="J75" s="331"/>
      <c r="K75" s="331"/>
      <c r="L75" s="331"/>
      <c r="M75" s="331"/>
      <c r="N75" s="331"/>
      <c r="O75" s="331"/>
      <c r="P75" s="332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</row>
    <row r="76" spans="1:36" ht="15.75" customHeight="1" thickBot="1">
      <c r="A76" s="944"/>
      <c r="B76" s="131" t="s">
        <v>191</v>
      </c>
      <c r="C76" s="513" t="s">
        <v>163</v>
      </c>
      <c r="D76" s="946"/>
      <c r="E76" s="110">
        <f t="shared" ref="E76:P76" si="117">IF(E75&gt;0,E75/E74,0)</f>
        <v>1876.6041666666667</v>
      </c>
      <c r="F76" s="97">
        <f t="shared" si="117"/>
        <v>1925.8290598290598</v>
      </c>
      <c r="G76" s="97">
        <f t="shared" si="117"/>
        <v>0</v>
      </c>
      <c r="H76" s="97">
        <f t="shared" si="117"/>
        <v>0</v>
      </c>
      <c r="I76" s="97">
        <f t="shared" si="117"/>
        <v>0</v>
      </c>
      <c r="J76" s="97">
        <f t="shared" si="117"/>
        <v>0</v>
      </c>
      <c r="K76" s="97">
        <f t="shared" si="117"/>
        <v>0</v>
      </c>
      <c r="L76" s="97">
        <f t="shared" si="117"/>
        <v>0</v>
      </c>
      <c r="M76" s="97">
        <f t="shared" si="117"/>
        <v>0</v>
      </c>
      <c r="N76" s="97">
        <f t="shared" si="117"/>
        <v>0</v>
      </c>
      <c r="O76" s="97">
        <f t="shared" si="117"/>
        <v>0</v>
      </c>
      <c r="P76" s="98">
        <f t="shared" si="117"/>
        <v>0</v>
      </c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</row>
    <row r="77" spans="1:36" ht="15.75" customHeight="1">
      <c r="A77" s="952">
        <v>10</v>
      </c>
      <c r="B77" s="127" t="s">
        <v>240</v>
      </c>
      <c r="C77" s="212" t="s">
        <v>157</v>
      </c>
      <c r="D77" s="623">
        <v>8724</v>
      </c>
      <c r="E77" s="122">
        <v>9315</v>
      </c>
      <c r="F77" s="123">
        <v>9872</v>
      </c>
      <c r="G77" s="123"/>
      <c r="H77" s="123"/>
      <c r="I77" s="123"/>
      <c r="J77" s="123"/>
      <c r="K77" s="123"/>
      <c r="L77" s="123"/>
      <c r="M77" s="123"/>
      <c r="N77" s="123"/>
      <c r="O77" s="123"/>
      <c r="P77" s="124"/>
      <c r="Q77" s="125"/>
      <c r="R77" s="125">
        <v>10133</v>
      </c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</row>
    <row r="78" spans="1:36" ht="15.75" customHeight="1">
      <c r="A78" s="943"/>
      <c r="B78" s="111" t="s">
        <v>158</v>
      </c>
      <c r="C78" s="511" t="s">
        <v>933</v>
      </c>
      <c r="D78" s="622" t="str">
        <f>RIGHT(B77,4)</f>
        <v>6994</v>
      </c>
      <c r="E78" s="106">
        <f t="shared" ref="E78" si="118">IF(E77&gt;0,E77-D77,0)</f>
        <v>591</v>
      </c>
      <c r="F78" s="107">
        <f t="shared" ref="F78" si="119">IF(F77&gt;0,F77-E77,0)</f>
        <v>557</v>
      </c>
      <c r="G78" s="107">
        <f>R77-F77+G77</f>
        <v>261</v>
      </c>
      <c r="H78" s="107">
        <f t="shared" ref="H78" si="120">IF(H77&gt;0,H77-G77,0)</f>
        <v>0</v>
      </c>
      <c r="I78" s="107">
        <f t="shared" ref="I78" si="121">IF(I77&gt;0,I77-H77,0)</f>
        <v>0</v>
      </c>
      <c r="J78" s="107">
        <f t="shared" ref="J78" si="122">IF(J77&gt;0,J77-I77,0)</f>
        <v>0</v>
      </c>
      <c r="K78" s="107">
        <f t="shared" ref="K78" si="123">IF(K77&gt;0,K77-J77,0)</f>
        <v>0</v>
      </c>
      <c r="L78" s="107">
        <f t="shared" ref="L78" si="124">IF(L77&gt;0,L77-K77,0)</f>
        <v>0</v>
      </c>
      <c r="M78" s="107">
        <f t="shared" ref="M78" si="125">IF(M77&gt;0,M77-L77,0)</f>
        <v>0</v>
      </c>
      <c r="N78" s="107">
        <f t="shared" ref="N78" si="126">IF(N77&gt;0,N77-M77,0)</f>
        <v>0</v>
      </c>
      <c r="O78" s="107">
        <f t="shared" ref="O78" si="127">IF(O77&gt;0,O77-N77,0)</f>
        <v>0</v>
      </c>
      <c r="P78" s="108">
        <f t="shared" ref="P78" si="128">IF(P77&gt;0,P77-O77,0)</f>
        <v>0</v>
      </c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</row>
    <row r="79" spans="1:36" ht="15.75" customHeight="1">
      <c r="A79" s="943"/>
      <c r="B79" s="111" t="s">
        <v>170</v>
      </c>
      <c r="C79" s="511" t="s">
        <v>934</v>
      </c>
      <c r="D79" s="945"/>
      <c r="E79" s="330">
        <v>1129060</v>
      </c>
      <c r="F79" s="331">
        <v>1047638</v>
      </c>
      <c r="G79" s="331"/>
      <c r="H79" s="331"/>
      <c r="I79" s="331"/>
      <c r="J79" s="331"/>
      <c r="K79" s="331"/>
      <c r="L79" s="331"/>
      <c r="M79" s="331"/>
      <c r="N79" s="331"/>
      <c r="O79" s="331"/>
      <c r="P79" s="332"/>
      <c r="Q79" s="101"/>
      <c r="R79" s="101">
        <v>1</v>
      </c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</row>
    <row r="80" spans="1:36" ht="15.75" customHeight="1" thickBot="1">
      <c r="A80" s="944"/>
      <c r="B80" s="130" t="s">
        <v>242</v>
      </c>
      <c r="C80" s="213" t="s">
        <v>163</v>
      </c>
      <c r="D80" s="946"/>
      <c r="E80" s="110">
        <f t="shared" ref="E80:P80" si="129">IF(E79&gt;0,E79/E78,0)</f>
        <v>1910.4230118443315</v>
      </c>
      <c r="F80" s="97">
        <f t="shared" si="129"/>
        <v>1880.8581687612209</v>
      </c>
      <c r="G80" s="97">
        <f t="shared" si="129"/>
        <v>0</v>
      </c>
      <c r="H80" s="97">
        <f t="shared" si="129"/>
        <v>0</v>
      </c>
      <c r="I80" s="97">
        <f t="shared" si="129"/>
        <v>0</v>
      </c>
      <c r="J80" s="97">
        <f t="shared" si="129"/>
        <v>0</v>
      </c>
      <c r="K80" s="97">
        <f t="shared" si="129"/>
        <v>0</v>
      </c>
      <c r="L80" s="97">
        <f t="shared" si="129"/>
        <v>0</v>
      </c>
      <c r="M80" s="97">
        <f t="shared" si="129"/>
        <v>0</v>
      </c>
      <c r="N80" s="97">
        <f t="shared" si="129"/>
        <v>0</v>
      </c>
      <c r="O80" s="97">
        <f t="shared" si="129"/>
        <v>0</v>
      </c>
      <c r="P80" s="98">
        <f t="shared" si="129"/>
        <v>0</v>
      </c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</row>
    <row r="81" spans="1:36" ht="15.75" customHeight="1">
      <c r="A81" s="942">
        <v>11</v>
      </c>
      <c r="B81" s="128" t="s">
        <v>243</v>
      </c>
      <c r="C81" s="512" t="s">
        <v>157</v>
      </c>
      <c r="D81" s="624">
        <v>9021</v>
      </c>
      <c r="E81" s="122">
        <v>9293</v>
      </c>
      <c r="F81" s="123">
        <v>9600</v>
      </c>
      <c r="G81" s="123"/>
      <c r="H81" s="123"/>
      <c r="I81" s="123"/>
      <c r="J81" s="123"/>
      <c r="K81" s="123"/>
      <c r="L81" s="123"/>
      <c r="M81" s="123"/>
      <c r="N81" s="123"/>
      <c r="O81" s="123"/>
      <c r="P81" s="124"/>
      <c r="Q81" s="125"/>
      <c r="R81" s="125">
        <v>9732</v>
      </c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</row>
    <row r="82" spans="1:36" ht="15.75" customHeight="1">
      <c r="A82" s="943"/>
      <c r="B82" s="105" t="s">
        <v>158</v>
      </c>
      <c r="C82" s="512" t="s">
        <v>887</v>
      </c>
      <c r="D82" s="622" t="str">
        <f>RIGHT(B81,4)</f>
        <v>1556</v>
      </c>
      <c r="E82" s="106">
        <f t="shared" ref="E82" si="130">IF(E81&gt;0,E81-D81,0)</f>
        <v>272</v>
      </c>
      <c r="F82" s="107">
        <f t="shared" ref="F82" si="131">IF(F81&gt;0,F81-E81,0)</f>
        <v>307</v>
      </c>
      <c r="G82" s="107">
        <f>R81-F81+G81</f>
        <v>132</v>
      </c>
      <c r="H82" s="107">
        <f t="shared" ref="H82" si="132">IF(H81&gt;0,H81-G81,0)</f>
        <v>0</v>
      </c>
      <c r="I82" s="107">
        <f t="shared" ref="I82" si="133">IF(I81&gt;0,I81-H81,0)</f>
        <v>0</v>
      </c>
      <c r="J82" s="107">
        <f t="shared" ref="J82" si="134">IF(J81&gt;0,J81-I81,0)</f>
        <v>0</v>
      </c>
      <c r="K82" s="107">
        <f t="shared" ref="K82" si="135">IF(K81&gt;0,K81-J81,0)</f>
        <v>0</v>
      </c>
      <c r="L82" s="107">
        <f t="shared" ref="L82" si="136">IF(L81&gt;0,L81-K81,0)</f>
        <v>0</v>
      </c>
      <c r="M82" s="107">
        <f t="shared" ref="M82" si="137">IF(M81&gt;0,M81-L81,0)</f>
        <v>0</v>
      </c>
      <c r="N82" s="107">
        <f t="shared" ref="N82" si="138">IF(N81&gt;0,N81-M81,0)</f>
        <v>0</v>
      </c>
      <c r="O82" s="107">
        <f t="shared" ref="O82" si="139">IF(O81&gt;0,O81-N81,0)</f>
        <v>0</v>
      </c>
      <c r="P82" s="108">
        <f t="shared" ref="P82" si="140">IF(P81&gt;0,P81-O81,0)</f>
        <v>0</v>
      </c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</row>
    <row r="83" spans="1:36" ht="15.75" customHeight="1">
      <c r="A83" s="943"/>
      <c r="B83" s="105" t="s">
        <v>175</v>
      </c>
      <c r="C83" s="512" t="s">
        <v>888</v>
      </c>
      <c r="D83" s="945" t="s">
        <v>165</v>
      </c>
      <c r="E83" s="330">
        <v>615426</v>
      </c>
      <c r="F83" s="331">
        <v>709982</v>
      </c>
      <c r="G83" s="331"/>
      <c r="H83" s="331"/>
      <c r="I83" s="331"/>
      <c r="J83" s="331"/>
      <c r="K83" s="331"/>
      <c r="L83" s="331"/>
      <c r="M83" s="331"/>
      <c r="N83" s="331"/>
      <c r="O83" s="331"/>
      <c r="P83" s="332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</row>
    <row r="84" spans="1:36" ht="15.75" customHeight="1" thickBot="1">
      <c r="A84" s="944"/>
      <c r="B84" s="131" t="s">
        <v>171</v>
      </c>
      <c r="C84" s="513" t="s">
        <v>163</v>
      </c>
      <c r="D84" s="946"/>
      <c r="E84" s="110">
        <f t="shared" ref="E84:P84" si="141">IF(E83&gt;0,E83/E82,0)</f>
        <v>2262.5955882352941</v>
      </c>
      <c r="F84" s="97">
        <f t="shared" si="141"/>
        <v>2312.6449511400651</v>
      </c>
      <c r="G84" s="97">
        <f t="shared" si="141"/>
        <v>0</v>
      </c>
      <c r="H84" s="97">
        <f t="shared" si="141"/>
        <v>0</v>
      </c>
      <c r="I84" s="97">
        <f t="shared" si="141"/>
        <v>0</v>
      </c>
      <c r="J84" s="97">
        <f t="shared" si="141"/>
        <v>0</v>
      </c>
      <c r="K84" s="97">
        <f t="shared" si="141"/>
        <v>0</v>
      </c>
      <c r="L84" s="97">
        <f t="shared" si="141"/>
        <v>0</v>
      </c>
      <c r="M84" s="97">
        <f t="shared" si="141"/>
        <v>0</v>
      </c>
      <c r="N84" s="97">
        <f t="shared" si="141"/>
        <v>0</v>
      </c>
      <c r="O84" s="97">
        <f t="shared" si="141"/>
        <v>0</v>
      </c>
      <c r="P84" s="98">
        <f t="shared" si="141"/>
        <v>0</v>
      </c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</row>
    <row r="85" spans="1:36" ht="15.75" customHeight="1">
      <c r="A85" s="952">
        <v>12</v>
      </c>
      <c r="B85" s="127" t="s">
        <v>244</v>
      </c>
      <c r="C85" s="212" t="s">
        <v>157</v>
      </c>
      <c r="D85" s="623">
        <v>3171</v>
      </c>
      <c r="E85" s="122">
        <v>3173</v>
      </c>
      <c r="F85" s="123">
        <v>3308</v>
      </c>
      <c r="G85" s="123"/>
      <c r="H85" s="123"/>
      <c r="I85" s="123"/>
      <c r="J85" s="123"/>
      <c r="K85" s="123"/>
      <c r="L85" s="123"/>
      <c r="M85" s="123"/>
      <c r="N85" s="123"/>
      <c r="O85" s="123"/>
      <c r="P85" s="124"/>
      <c r="Q85" s="125"/>
      <c r="R85" s="125">
        <v>3473</v>
      </c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</row>
    <row r="86" spans="1:36" ht="15.75" customHeight="1">
      <c r="A86" s="943"/>
      <c r="B86" s="111" t="s">
        <v>245</v>
      </c>
      <c r="C86" s="511" t="s">
        <v>933</v>
      </c>
      <c r="D86" s="622" t="str">
        <f>RIGHT(B85,4)</f>
        <v>1932</v>
      </c>
      <c r="E86" s="106">
        <f t="shared" ref="E86" si="142">IF(E85&gt;0,E85-D85,0)</f>
        <v>2</v>
      </c>
      <c r="F86" s="107">
        <f t="shared" ref="F86" si="143">IF(F85&gt;0,F85-E85,0)</f>
        <v>135</v>
      </c>
      <c r="G86" s="107">
        <f>R85-F85+G85</f>
        <v>165</v>
      </c>
      <c r="H86" s="107">
        <f t="shared" ref="H86" si="144">IF(H85&gt;0,H85-G85,0)</f>
        <v>0</v>
      </c>
      <c r="I86" s="107">
        <f t="shared" ref="I86" si="145">IF(I85&gt;0,I85-H85,0)</f>
        <v>0</v>
      </c>
      <c r="J86" s="107">
        <f t="shared" ref="J86" si="146">IF(J85&gt;0,J85-I85,0)</f>
        <v>0</v>
      </c>
      <c r="K86" s="107">
        <f t="shared" ref="K86" si="147">IF(K85&gt;0,K85-J85,0)</f>
        <v>0</v>
      </c>
      <c r="L86" s="107">
        <f t="shared" ref="L86" si="148">IF(L85&gt;0,L85-K85,0)</f>
        <v>0</v>
      </c>
      <c r="M86" s="107">
        <f t="shared" ref="M86" si="149">IF(M85&gt;0,M85-L85,0)</f>
        <v>0</v>
      </c>
      <c r="N86" s="107">
        <f t="shared" ref="N86" si="150">IF(N85&gt;0,N85-M85,0)</f>
        <v>0</v>
      </c>
      <c r="O86" s="107">
        <f t="shared" ref="O86" si="151">IF(O85&gt;0,O85-N85,0)</f>
        <v>0</v>
      </c>
      <c r="P86" s="108">
        <f t="shared" ref="P86" si="152">IF(P85&gt;0,P85-O85,0)</f>
        <v>0</v>
      </c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</row>
    <row r="87" spans="1:36" ht="15.75" customHeight="1">
      <c r="A87" s="943"/>
      <c r="B87" s="111" t="s">
        <v>248</v>
      </c>
      <c r="C87" s="511" t="s">
        <v>934</v>
      </c>
      <c r="D87" s="945"/>
      <c r="E87" s="330">
        <v>3692</v>
      </c>
      <c r="F87" s="331">
        <v>265199</v>
      </c>
      <c r="G87" s="331"/>
      <c r="H87" s="331"/>
      <c r="I87" s="331"/>
      <c r="J87" s="331"/>
      <c r="K87" s="331"/>
      <c r="L87" s="331"/>
      <c r="M87" s="331"/>
      <c r="N87" s="331"/>
      <c r="O87" s="331"/>
      <c r="P87" s="332"/>
      <c r="Q87" s="101"/>
      <c r="R87" s="101">
        <v>1</v>
      </c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  <c r="AJ87" s="101"/>
    </row>
    <row r="88" spans="1:36" ht="15.75" customHeight="1" thickBot="1">
      <c r="A88" s="944"/>
      <c r="B88" s="114" t="s">
        <v>176</v>
      </c>
      <c r="C88" s="213" t="s">
        <v>163</v>
      </c>
      <c r="D88" s="946"/>
      <c r="E88" s="110">
        <f t="shared" ref="E88:P88" si="153">IF(E87&gt;0,E87/E86,0)</f>
        <v>1846</v>
      </c>
      <c r="F88" s="97">
        <f t="shared" si="153"/>
        <v>1964.437037037037</v>
      </c>
      <c r="G88" s="97">
        <f t="shared" si="153"/>
        <v>0</v>
      </c>
      <c r="H88" s="97">
        <f t="shared" si="153"/>
        <v>0</v>
      </c>
      <c r="I88" s="97">
        <f t="shared" si="153"/>
        <v>0</v>
      </c>
      <c r="J88" s="97">
        <f t="shared" si="153"/>
        <v>0</v>
      </c>
      <c r="K88" s="97">
        <f t="shared" si="153"/>
        <v>0</v>
      </c>
      <c r="L88" s="97">
        <f t="shared" si="153"/>
        <v>0</v>
      </c>
      <c r="M88" s="97">
        <f t="shared" si="153"/>
        <v>0</v>
      </c>
      <c r="N88" s="97">
        <f t="shared" si="153"/>
        <v>0</v>
      </c>
      <c r="O88" s="97">
        <f t="shared" si="153"/>
        <v>0</v>
      </c>
      <c r="P88" s="98">
        <f t="shared" si="153"/>
        <v>0</v>
      </c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</row>
    <row r="89" spans="1:36" ht="15.75" customHeight="1">
      <c r="A89" s="987">
        <v>13</v>
      </c>
      <c r="B89" s="120" t="s">
        <v>249</v>
      </c>
      <c r="C89" s="212" t="s">
        <v>157</v>
      </c>
      <c r="D89" s="621">
        <v>5770</v>
      </c>
      <c r="E89" s="122">
        <v>5815</v>
      </c>
      <c r="F89" s="123">
        <v>5881</v>
      </c>
      <c r="G89" s="123">
        <v>0</v>
      </c>
      <c r="H89" s="123"/>
      <c r="I89" s="123"/>
      <c r="J89" s="123"/>
      <c r="K89" s="123"/>
      <c r="L89" s="123"/>
      <c r="M89" s="123"/>
      <c r="N89" s="123"/>
      <c r="O89" s="123"/>
      <c r="P89" s="124"/>
      <c r="Q89" s="125"/>
      <c r="R89" s="797">
        <v>5881</v>
      </c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</row>
    <row r="90" spans="1:36" ht="15.75" customHeight="1">
      <c r="A90" s="943"/>
      <c r="B90" s="105" t="s">
        <v>158</v>
      </c>
      <c r="C90" s="511" t="s">
        <v>933</v>
      </c>
      <c r="D90" s="622" t="str">
        <f>RIGHT(B89,4)</f>
        <v>3209</v>
      </c>
      <c r="E90" s="106">
        <f t="shared" ref="E90" si="154">IF(E89&gt;0,E89-D89,0)</f>
        <v>45</v>
      </c>
      <c r="F90" s="107">
        <f t="shared" ref="F90" si="155">IF(F89&gt;0,F89-E89,0)</f>
        <v>66</v>
      </c>
      <c r="G90" s="107">
        <f>R89-F89+G89</f>
        <v>0</v>
      </c>
      <c r="H90" s="107">
        <f t="shared" ref="H90" si="156">IF(H89&gt;0,H89-G89,0)</f>
        <v>0</v>
      </c>
      <c r="I90" s="107">
        <f t="shared" ref="I90" si="157">IF(I89&gt;0,I89-H89,0)</f>
        <v>0</v>
      </c>
      <c r="J90" s="107">
        <f t="shared" ref="J90" si="158">IF(J89&gt;0,J89-I89,0)</f>
        <v>0</v>
      </c>
      <c r="K90" s="107">
        <f t="shared" ref="K90" si="159">IF(K89&gt;0,K89-J89,0)</f>
        <v>0</v>
      </c>
      <c r="L90" s="107">
        <f t="shared" ref="L90" si="160">IF(L89&gt;0,L89-K89,0)</f>
        <v>0</v>
      </c>
      <c r="M90" s="107">
        <f t="shared" ref="M90" si="161">IF(M89&gt;0,M89-L89,0)</f>
        <v>0</v>
      </c>
      <c r="N90" s="107">
        <f t="shared" ref="N90" si="162">IF(N89&gt;0,N89-M89,0)</f>
        <v>0</v>
      </c>
      <c r="O90" s="107">
        <f t="shared" ref="O90" si="163">IF(O89&gt;0,O89-N89,0)</f>
        <v>0</v>
      </c>
      <c r="P90" s="108">
        <f t="shared" ref="P90" si="164">IF(P89&gt;0,P89-O89,0)</f>
        <v>0</v>
      </c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101"/>
    </row>
    <row r="91" spans="1:36" ht="15.75" customHeight="1">
      <c r="A91" s="943"/>
      <c r="B91" s="105" t="s">
        <v>190</v>
      </c>
      <c r="C91" s="511" t="s">
        <v>934</v>
      </c>
      <c r="D91" s="945"/>
      <c r="E91" s="330">
        <v>83061</v>
      </c>
      <c r="F91" s="331">
        <v>122808</v>
      </c>
      <c r="G91" s="331"/>
      <c r="H91" s="331"/>
      <c r="I91" s="331"/>
      <c r="J91" s="331"/>
      <c r="K91" s="331"/>
      <c r="L91" s="331"/>
      <c r="M91" s="331"/>
      <c r="N91" s="331"/>
      <c r="O91" s="331"/>
      <c r="P91" s="332"/>
      <c r="Q91" s="101"/>
      <c r="R91" s="101">
        <v>1</v>
      </c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</row>
    <row r="92" spans="1:36" ht="15.75" customHeight="1" thickBot="1">
      <c r="A92" s="988"/>
      <c r="B92" s="109" t="s">
        <v>250</v>
      </c>
      <c r="C92" s="213" t="s">
        <v>163</v>
      </c>
      <c r="D92" s="946"/>
      <c r="E92" s="110">
        <f t="shared" ref="E92:P92" si="165">IF(E91&gt;0,E91/E90,0)</f>
        <v>1845.8</v>
      </c>
      <c r="F92" s="97">
        <f t="shared" si="165"/>
        <v>1860.7272727272727</v>
      </c>
      <c r="G92" s="97">
        <f t="shared" si="165"/>
        <v>0</v>
      </c>
      <c r="H92" s="97">
        <f t="shared" si="165"/>
        <v>0</v>
      </c>
      <c r="I92" s="97">
        <f t="shared" si="165"/>
        <v>0</v>
      </c>
      <c r="J92" s="97">
        <f t="shared" si="165"/>
        <v>0</v>
      </c>
      <c r="K92" s="97">
        <f t="shared" si="165"/>
        <v>0</v>
      </c>
      <c r="L92" s="97">
        <f t="shared" si="165"/>
        <v>0</v>
      </c>
      <c r="M92" s="97">
        <f t="shared" si="165"/>
        <v>0</v>
      </c>
      <c r="N92" s="97">
        <f t="shared" si="165"/>
        <v>0</v>
      </c>
      <c r="O92" s="97">
        <f t="shared" si="165"/>
        <v>0</v>
      </c>
      <c r="P92" s="98">
        <f t="shared" si="165"/>
        <v>0</v>
      </c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</row>
    <row r="93" spans="1:36" ht="15.75" customHeight="1">
      <c r="A93" s="952">
        <v>14</v>
      </c>
      <c r="B93" s="127" t="s">
        <v>251</v>
      </c>
      <c r="C93" s="512" t="s">
        <v>157</v>
      </c>
      <c r="D93" s="623">
        <v>17516</v>
      </c>
      <c r="E93" s="122">
        <v>17777</v>
      </c>
      <c r="F93" s="123">
        <v>18029</v>
      </c>
      <c r="G93" s="123"/>
      <c r="H93" s="123"/>
      <c r="I93" s="123"/>
      <c r="J93" s="123"/>
      <c r="K93" s="123"/>
      <c r="L93" s="123"/>
      <c r="M93" s="123"/>
      <c r="N93" s="123"/>
      <c r="O93" s="123"/>
      <c r="P93" s="124"/>
      <c r="Q93" s="125"/>
      <c r="R93" s="125">
        <v>18179</v>
      </c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</row>
    <row r="94" spans="1:36" ht="15.75" customHeight="1">
      <c r="A94" s="943"/>
      <c r="B94" s="111" t="s">
        <v>252</v>
      </c>
      <c r="C94" s="512" t="s">
        <v>887</v>
      </c>
      <c r="D94" s="622" t="str">
        <f>RIGHT(B93,4)</f>
        <v>1885</v>
      </c>
      <c r="E94" s="106">
        <f t="shared" ref="E94" si="166">IF(E93&gt;0,E93-D93,0)</f>
        <v>261</v>
      </c>
      <c r="F94" s="107">
        <f t="shared" ref="F94" si="167">IF(F93&gt;0,F93-E93,0)</f>
        <v>252</v>
      </c>
      <c r="G94" s="107">
        <f>R93-F93+G93</f>
        <v>150</v>
      </c>
      <c r="H94" s="107">
        <f t="shared" ref="H94" si="168">IF(H93&gt;0,H93-G93,0)</f>
        <v>0</v>
      </c>
      <c r="I94" s="107">
        <f t="shared" ref="I94" si="169">IF(I93&gt;0,I93-H93,0)</f>
        <v>0</v>
      </c>
      <c r="J94" s="107">
        <f t="shared" ref="J94" si="170">IF(J93&gt;0,J93-I93,0)</f>
        <v>0</v>
      </c>
      <c r="K94" s="107">
        <f t="shared" ref="K94" si="171">IF(K93&gt;0,K93-J93,0)</f>
        <v>0</v>
      </c>
      <c r="L94" s="107">
        <f t="shared" ref="L94" si="172">IF(L93&gt;0,L93-K93,0)</f>
        <v>0</v>
      </c>
      <c r="M94" s="107">
        <f t="shared" ref="M94" si="173">IF(M93&gt;0,M93-L93,0)</f>
        <v>0</v>
      </c>
      <c r="N94" s="107">
        <f t="shared" ref="N94" si="174">IF(N93&gt;0,N93-M93,0)</f>
        <v>0</v>
      </c>
      <c r="O94" s="107">
        <f t="shared" ref="O94" si="175">IF(O93&gt;0,O93-N93,0)</f>
        <v>0</v>
      </c>
      <c r="P94" s="108">
        <f t="shared" ref="P94" si="176">IF(P93&gt;0,P93-O93,0)</f>
        <v>0</v>
      </c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</row>
    <row r="95" spans="1:36" ht="15.75" customHeight="1">
      <c r="A95" s="943"/>
      <c r="B95" s="111" t="s">
        <v>175</v>
      </c>
      <c r="C95" s="512" t="s">
        <v>888</v>
      </c>
      <c r="D95" s="945" t="s">
        <v>165</v>
      </c>
      <c r="E95" s="330">
        <v>584740</v>
      </c>
      <c r="F95" s="331">
        <v>554259</v>
      </c>
      <c r="G95" s="331"/>
      <c r="H95" s="331"/>
      <c r="I95" s="331"/>
      <c r="J95" s="331"/>
      <c r="K95" s="331"/>
      <c r="L95" s="331"/>
      <c r="M95" s="331"/>
      <c r="N95" s="331"/>
      <c r="O95" s="331"/>
      <c r="P95" s="332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</row>
    <row r="96" spans="1:36" ht="15.75" customHeight="1" thickBot="1">
      <c r="A96" s="944"/>
      <c r="B96" s="130" t="s">
        <v>255</v>
      </c>
      <c r="C96" s="513" t="s">
        <v>163</v>
      </c>
      <c r="D96" s="946"/>
      <c r="E96" s="110">
        <f t="shared" ref="E96:P96" si="177">IF(E95&gt;0,E95/E94,0)</f>
        <v>2240.3831417624519</v>
      </c>
      <c r="F96" s="97">
        <f t="shared" si="177"/>
        <v>2199.4404761904761</v>
      </c>
      <c r="G96" s="97">
        <f t="shared" si="177"/>
        <v>0</v>
      </c>
      <c r="H96" s="97">
        <f t="shared" si="177"/>
        <v>0</v>
      </c>
      <c r="I96" s="97">
        <f t="shared" si="177"/>
        <v>0</v>
      </c>
      <c r="J96" s="97">
        <f t="shared" si="177"/>
        <v>0</v>
      </c>
      <c r="K96" s="97">
        <f t="shared" si="177"/>
        <v>0</v>
      </c>
      <c r="L96" s="97">
        <f t="shared" si="177"/>
        <v>0</v>
      </c>
      <c r="M96" s="97">
        <f t="shared" si="177"/>
        <v>0</v>
      </c>
      <c r="N96" s="97">
        <f t="shared" si="177"/>
        <v>0</v>
      </c>
      <c r="O96" s="97">
        <f t="shared" si="177"/>
        <v>0</v>
      </c>
      <c r="P96" s="98">
        <f t="shared" si="177"/>
        <v>0</v>
      </c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</row>
    <row r="97" spans="1:36" ht="15.75" customHeight="1">
      <c r="A97" s="942">
        <v>15</v>
      </c>
      <c r="B97" s="128" t="s">
        <v>256</v>
      </c>
      <c r="C97" s="212" t="s">
        <v>157</v>
      </c>
      <c r="D97" s="624">
        <v>33317</v>
      </c>
      <c r="E97" s="122">
        <v>35094</v>
      </c>
      <c r="F97" s="123">
        <v>36991</v>
      </c>
      <c r="G97" s="123"/>
      <c r="H97" s="123"/>
      <c r="I97" s="123"/>
      <c r="J97" s="123"/>
      <c r="K97" s="123"/>
      <c r="L97" s="123"/>
      <c r="M97" s="123"/>
      <c r="N97" s="123"/>
      <c r="O97" s="123"/>
      <c r="P97" s="124"/>
      <c r="Q97" s="125"/>
      <c r="R97" s="125">
        <v>37938</v>
      </c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</row>
    <row r="98" spans="1:36" ht="15.75" customHeight="1">
      <c r="A98" s="943"/>
      <c r="B98" s="105" t="s">
        <v>158</v>
      </c>
      <c r="C98" s="511" t="s">
        <v>933</v>
      </c>
      <c r="D98" s="622" t="str">
        <f>RIGHT(B97,4)</f>
        <v>3025</v>
      </c>
      <c r="E98" s="106">
        <f t="shared" ref="E98" si="178">IF(E97&gt;0,E97-D97,0)</f>
        <v>1777</v>
      </c>
      <c r="F98" s="107">
        <f t="shared" ref="F98" si="179">IF(F97&gt;0,F97-E97,0)</f>
        <v>1897</v>
      </c>
      <c r="G98" s="107">
        <f>R97-F97+G97</f>
        <v>947</v>
      </c>
      <c r="H98" s="107">
        <f t="shared" ref="H98" si="180">IF(H97&gt;0,H97-G97,0)</f>
        <v>0</v>
      </c>
      <c r="I98" s="107">
        <f t="shared" ref="I98" si="181">IF(I97&gt;0,I97-H97,0)</f>
        <v>0</v>
      </c>
      <c r="J98" s="107">
        <f t="shared" ref="J98" si="182">IF(J97&gt;0,J97-I97,0)</f>
        <v>0</v>
      </c>
      <c r="K98" s="107">
        <f t="shared" ref="K98" si="183">IF(K97&gt;0,K97-J97,0)</f>
        <v>0</v>
      </c>
      <c r="L98" s="107">
        <f t="shared" ref="L98" si="184">IF(L97&gt;0,L97-K97,0)</f>
        <v>0</v>
      </c>
      <c r="M98" s="107">
        <f t="shared" ref="M98" si="185">IF(M97&gt;0,M97-L97,0)</f>
        <v>0</v>
      </c>
      <c r="N98" s="107">
        <f t="shared" ref="N98" si="186">IF(N97&gt;0,N97-M97,0)</f>
        <v>0</v>
      </c>
      <c r="O98" s="107">
        <f t="shared" ref="O98" si="187">IF(O97&gt;0,O97-N97,0)</f>
        <v>0</v>
      </c>
      <c r="P98" s="108">
        <f t="shared" ref="P98" si="188">IF(P97&gt;0,P97-O97,0)</f>
        <v>0</v>
      </c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</row>
    <row r="99" spans="1:36" ht="15.75" customHeight="1">
      <c r="A99" s="943"/>
      <c r="B99" s="105" t="s">
        <v>195</v>
      </c>
      <c r="C99" s="511" t="s">
        <v>934</v>
      </c>
      <c r="D99" s="945"/>
      <c r="E99" s="330">
        <v>3346576</v>
      </c>
      <c r="F99" s="331">
        <v>3592774</v>
      </c>
      <c r="G99" s="331"/>
      <c r="H99" s="331"/>
      <c r="I99" s="331"/>
      <c r="J99" s="331"/>
      <c r="K99" s="331"/>
      <c r="L99" s="331"/>
      <c r="M99" s="331"/>
      <c r="N99" s="331"/>
      <c r="O99" s="331"/>
      <c r="P99" s="332"/>
      <c r="Q99" s="101"/>
      <c r="R99" s="101">
        <v>1</v>
      </c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</row>
    <row r="100" spans="1:36" ht="15.75" customHeight="1" thickBot="1">
      <c r="A100" s="944"/>
      <c r="B100" s="129" t="s">
        <v>196</v>
      </c>
      <c r="C100" s="213" t="s">
        <v>163</v>
      </c>
      <c r="D100" s="946"/>
      <c r="E100" s="110">
        <f t="shared" ref="E100:P100" si="189">IF(E99&gt;0,E99/E98,0)</f>
        <v>1883.2729319077096</v>
      </c>
      <c r="F100" s="97">
        <f t="shared" si="189"/>
        <v>1893.9240906694781</v>
      </c>
      <c r="G100" s="97">
        <f t="shared" si="189"/>
        <v>0</v>
      </c>
      <c r="H100" s="97">
        <f t="shared" si="189"/>
        <v>0</v>
      </c>
      <c r="I100" s="97">
        <f t="shared" si="189"/>
        <v>0</v>
      </c>
      <c r="J100" s="97">
        <f t="shared" si="189"/>
        <v>0</v>
      </c>
      <c r="K100" s="97">
        <f t="shared" si="189"/>
        <v>0</v>
      </c>
      <c r="L100" s="97">
        <f t="shared" si="189"/>
        <v>0</v>
      </c>
      <c r="M100" s="97">
        <f t="shared" si="189"/>
        <v>0</v>
      </c>
      <c r="N100" s="97">
        <f t="shared" si="189"/>
        <v>0</v>
      </c>
      <c r="O100" s="97">
        <f t="shared" si="189"/>
        <v>0</v>
      </c>
      <c r="P100" s="98">
        <f t="shared" si="189"/>
        <v>0</v>
      </c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</row>
    <row r="101" spans="1:36" ht="15.75" customHeight="1" thickBot="1">
      <c r="A101" s="132"/>
      <c r="B101" s="960" t="s">
        <v>824</v>
      </c>
      <c r="C101" s="961"/>
      <c r="D101" s="511" t="s">
        <v>934</v>
      </c>
      <c r="E101" s="333">
        <f>SUMIF($C$41:$C$100,$D$101,E41:E100)</f>
        <v>11382312</v>
      </c>
      <c r="F101" s="333">
        <f t="shared" ref="F101:P101" si="190">SUMIF($C$41:$C$100,$D$101,F41:F100)</f>
        <v>11211679</v>
      </c>
      <c r="G101" s="333">
        <f t="shared" si="190"/>
        <v>0</v>
      </c>
      <c r="H101" s="333">
        <f t="shared" si="190"/>
        <v>0</v>
      </c>
      <c r="I101" s="333">
        <f t="shared" si="190"/>
        <v>0</v>
      </c>
      <c r="J101" s="333">
        <f t="shared" si="190"/>
        <v>0</v>
      </c>
      <c r="K101" s="333">
        <f t="shared" si="190"/>
        <v>0</v>
      </c>
      <c r="L101" s="333">
        <f t="shared" si="190"/>
        <v>0</v>
      </c>
      <c r="M101" s="333">
        <f t="shared" si="190"/>
        <v>0</v>
      </c>
      <c r="N101" s="333">
        <f t="shared" si="190"/>
        <v>0</v>
      </c>
      <c r="O101" s="333">
        <f t="shared" si="190"/>
        <v>0</v>
      </c>
      <c r="P101" s="333">
        <f t="shared" si="190"/>
        <v>0</v>
      </c>
      <c r="Q101" s="115"/>
      <c r="R101" s="115"/>
      <c r="S101" s="101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</row>
    <row r="102" spans="1:36" s="346" customFormat="1" ht="15.75" customHeight="1">
      <c r="A102" s="349"/>
      <c r="B102" s="967" t="s">
        <v>831</v>
      </c>
      <c r="C102" s="968"/>
      <c r="D102" s="968"/>
      <c r="E102" s="90">
        <f>E101-E99</f>
        <v>8035736</v>
      </c>
      <c r="F102" s="90">
        <f t="shared" ref="F102:P102" si="191">F101-F99</f>
        <v>7618905</v>
      </c>
      <c r="G102" s="90">
        <f t="shared" si="191"/>
        <v>0</v>
      </c>
      <c r="H102" s="90">
        <f t="shared" si="191"/>
        <v>0</v>
      </c>
      <c r="I102" s="90">
        <f t="shared" si="191"/>
        <v>0</v>
      </c>
      <c r="J102" s="90">
        <f t="shared" si="191"/>
        <v>0</v>
      </c>
      <c r="K102" s="90">
        <f t="shared" si="191"/>
        <v>0</v>
      </c>
      <c r="L102" s="90">
        <f t="shared" si="191"/>
        <v>0</v>
      </c>
      <c r="M102" s="90">
        <f t="shared" si="191"/>
        <v>0</v>
      </c>
      <c r="N102" s="90">
        <f t="shared" si="191"/>
        <v>0</v>
      </c>
      <c r="O102" s="90">
        <f t="shared" si="191"/>
        <v>0</v>
      </c>
      <c r="P102" s="90">
        <f t="shared" si="191"/>
        <v>0</v>
      </c>
      <c r="Q102" s="115"/>
      <c r="R102" s="115"/>
      <c r="S102" s="101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</row>
    <row r="103" spans="1:36" s="794" customFormat="1" ht="15.75" customHeight="1" thickBot="1">
      <c r="A103" s="349"/>
      <c r="B103" s="877"/>
      <c r="C103" s="878"/>
      <c r="D103" s="878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115"/>
      <c r="R103" s="115"/>
      <c r="S103" s="101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</row>
    <row r="104" spans="1:36" s="794" customFormat="1" ht="15.75" customHeight="1">
      <c r="A104" s="942">
        <v>1</v>
      </c>
      <c r="B104" s="128" t="s">
        <v>986</v>
      </c>
      <c r="C104" s="869" t="s">
        <v>157</v>
      </c>
      <c r="D104" s="624">
        <v>16946</v>
      </c>
      <c r="E104" s="122">
        <v>17618</v>
      </c>
      <c r="F104" s="123">
        <v>18313</v>
      </c>
      <c r="G104" s="123"/>
      <c r="H104" s="123"/>
      <c r="I104" s="123"/>
      <c r="J104" s="123"/>
      <c r="K104" s="123"/>
      <c r="L104" s="123"/>
      <c r="M104" s="123"/>
      <c r="N104" s="123"/>
      <c r="O104" s="123"/>
      <c r="P104" s="124"/>
      <c r="Q104" s="125"/>
      <c r="R104" s="125">
        <v>37938</v>
      </c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</row>
    <row r="105" spans="1:36" s="794" customFormat="1" ht="15.75" customHeight="1">
      <c r="A105" s="943"/>
      <c r="B105" s="879" t="s">
        <v>987</v>
      </c>
      <c r="C105" s="512" t="s">
        <v>887</v>
      </c>
      <c r="D105" s="622" t="str">
        <f>RIGHT(B104,4)</f>
        <v>8999</v>
      </c>
      <c r="E105" s="106">
        <f>IF(E104&gt;0,E104-D104,0)</f>
        <v>672</v>
      </c>
      <c r="F105" s="107">
        <f>IF(F104&gt;0,F104-E104,0)</f>
        <v>695</v>
      </c>
      <c r="G105" s="107">
        <f>R104-F104+G104</f>
        <v>19625</v>
      </c>
      <c r="H105" s="107">
        <f t="shared" ref="H105:P105" si="192">IF(H104&gt;0,H104-G104,0)</f>
        <v>0</v>
      </c>
      <c r="I105" s="107">
        <f t="shared" si="192"/>
        <v>0</v>
      </c>
      <c r="J105" s="107">
        <f t="shared" si="192"/>
        <v>0</v>
      </c>
      <c r="K105" s="107">
        <f t="shared" si="192"/>
        <v>0</v>
      </c>
      <c r="L105" s="107">
        <f t="shared" si="192"/>
        <v>0</v>
      </c>
      <c r="M105" s="107">
        <f t="shared" si="192"/>
        <v>0</v>
      </c>
      <c r="N105" s="107">
        <f t="shared" si="192"/>
        <v>0</v>
      </c>
      <c r="O105" s="107">
        <f t="shared" si="192"/>
        <v>0</v>
      </c>
      <c r="P105" s="108">
        <f t="shared" si="192"/>
        <v>0</v>
      </c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</row>
    <row r="106" spans="1:36" s="794" customFormat="1" ht="15.75" customHeight="1">
      <c r="A106" s="943"/>
      <c r="B106" s="866" t="s">
        <v>984</v>
      </c>
      <c r="C106" s="512" t="s">
        <v>888</v>
      </c>
      <c r="D106" s="945"/>
      <c r="E106" s="330">
        <v>1885641</v>
      </c>
      <c r="F106" s="331">
        <v>1949712</v>
      </c>
      <c r="G106" s="331"/>
      <c r="H106" s="331"/>
      <c r="I106" s="331"/>
      <c r="J106" s="331"/>
      <c r="K106" s="331"/>
      <c r="L106" s="331"/>
      <c r="M106" s="331"/>
      <c r="N106" s="331"/>
      <c r="O106" s="331"/>
      <c r="P106" s="332"/>
      <c r="Q106" s="101"/>
      <c r="R106" s="101">
        <v>1</v>
      </c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</row>
    <row r="107" spans="1:36" s="794" customFormat="1" ht="15.75" customHeight="1" thickBot="1">
      <c r="A107" s="944"/>
      <c r="B107" s="873" t="s">
        <v>985</v>
      </c>
      <c r="C107" s="874" t="s">
        <v>163</v>
      </c>
      <c r="D107" s="946"/>
      <c r="E107" s="110">
        <f t="shared" ref="E107:P107" si="193">IF(E106&gt;0,E106/E105,0)</f>
        <v>2806.0133928571427</v>
      </c>
      <c r="F107" s="97">
        <f t="shared" si="193"/>
        <v>2805.3410071942444</v>
      </c>
      <c r="G107" s="97">
        <f t="shared" si="193"/>
        <v>0</v>
      </c>
      <c r="H107" s="97">
        <f t="shared" si="193"/>
        <v>0</v>
      </c>
      <c r="I107" s="97">
        <f t="shared" si="193"/>
        <v>0</v>
      </c>
      <c r="J107" s="97">
        <f t="shared" si="193"/>
        <v>0</v>
      </c>
      <c r="K107" s="97">
        <f t="shared" si="193"/>
        <v>0</v>
      </c>
      <c r="L107" s="97">
        <f t="shared" si="193"/>
        <v>0</v>
      </c>
      <c r="M107" s="97">
        <f t="shared" si="193"/>
        <v>0</v>
      </c>
      <c r="N107" s="97">
        <f t="shared" si="193"/>
        <v>0</v>
      </c>
      <c r="O107" s="97">
        <f t="shared" si="193"/>
        <v>0</v>
      </c>
      <c r="P107" s="98">
        <f t="shared" si="193"/>
        <v>0</v>
      </c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</row>
    <row r="108" spans="1:36" s="794" customFormat="1" ht="15.75" customHeight="1">
      <c r="A108" s="953">
        <v>2</v>
      </c>
      <c r="B108" s="868" t="s">
        <v>983</v>
      </c>
      <c r="C108" s="869" t="s">
        <v>157</v>
      </c>
      <c r="D108" s="870">
        <v>1193</v>
      </c>
      <c r="E108" s="871">
        <v>1222</v>
      </c>
      <c r="F108" s="871">
        <v>1242</v>
      </c>
      <c r="G108" s="871"/>
      <c r="H108" s="871"/>
      <c r="I108" s="871"/>
      <c r="J108" s="871"/>
      <c r="K108" s="871"/>
      <c r="L108" s="871"/>
      <c r="M108" s="871"/>
      <c r="N108" s="871"/>
      <c r="O108" s="871"/>
      <c r="P108" s="872"/>
      <c r="Q108" s="101"/>
      <c r="R108" s="101" t="s">
        <v>876</v>
      </c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</row>
    <row r="109" spans="1:36" s="794" customFormat="1" ht="15.75" customHeight="1">
      <c r="A109" s="954"/>
      <c r="B109" s="866" t="s">
        <v>245</v>
      </c>
      <c r="C109" s="512" t="s">
        <v>887</v>
      </c>
      <c r="D109" s="975"/>
      <c r="E109" s="179">
        <f t="shared" ref="E109" si="194">IF(E108&gt;0,E108-D108,0)</f>
        <v>29</v>
      </c>
      <c r="F109" s="179">
        <f t="shared" ref="F109" si="195">IF(F108&gt;0,F108-E108,0)</f>
        <v>20</v>
      </c>
      <c r="G109" s="179">
        <f t="shared" ref="G109" si="196">IF(G108&gt;0,G108-F108,0)</f>
        <v>0</v>
      </c>
      <c r="H109" s="179">
        <f t="shared" ref="H109" si="197">IF(H108&gt;0,H108-G108,0)</f>
        <v>0</v>
      </c>
      <c r="I109" s="179">
        <f t="shared" ref="I109" si="198">IF(I108&gt;0,I108-H108,0)</f>
        <v>0</v>
      </c>
      <c r="J109" s="179">
        <f t="shared" ref="J109" si="199">IF(J108&gt;0,J108-I108,0)</f>
        <v>0</v>
      </c>
      <c r="K109" s="179">
        <f t="shared" ref="K109" si="200">IF(K108&gt;0,K108-J108,0)</f>
        <v>0</v>
      </c>
      <c r="L109" s="179">
        <f t="shared" ref="L109" si="201">IF(L108&gt;0,L108-K108,0)</f>
        <v>0</v>
      </c>
      <c r="M109" s="179">
        <f t="shared" ref="M109" si="202">IF(M108&gt;0,M108-L108,0)</f>
        <v>0</v>
      </c>
      <c r="N109" s="179">
        <f t="shared" ref="N109" si="203">IF(N108&gt;0,N108-M108,0)</f>
        <v>0</v>
      </c>
      <c r="O109" s="179">
        <f t="shared" ref="O109" si="204">IF(O108&gt;0,O108-N108,0)</f>
        <v>0</v>
      </c>
      <c r="P109" s="218">
        <f t="shared" ref="P109" si="205">IF(P108&gt;0,P108-O108,0)</f>
        <v>0</v>
      </c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</row>
    <row r="110" spans="1:36" s="794" customFormat="1" ht="15.75" customHeight="1">
      <c r="A110" s="954"/>
      <c r="B110" s="866" t="s">
        <v>984</v>
      </c>
      <c r="C110" s="512" t="s">
        <v>888</v>
      </c>
      <c r="D110" s="976"/>
      <c r="E110" s="179">
        <v>239775</v>
      </c>
      <c r="F110" s="179">
        <v>138000</v>
      </c>
      <c r="G110" s="179"/>
      <c r="H110" s="179"/>
      <c r="I110" s="179"/>
      <c r="J110" s="179"/>
      <c r="K110" s="179"/>
      <c r="L110" s="179"/>
      <c r="M110" s="179"/>
      <c r="N110" s="179"/>
      <c r="O110" s="179"/>
      <c r="P110" s="218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</row>
    <row r="111" spans="1:36" s="794" customFormat="1" ht="15.75" customHeight="1" thickBot="1">
      <c r="A111" s="955"/>
      <c r="B111" s="873" t="s">
        <v>985</v>
      </c>
      <c r="C111" s="874" t="s">
        <v>163</v>
      </c>
      <c r="D111" s="955"/>
      <c r="E111" s="875">
        <f t="shared" ref="E111:P111" si="206">IF(E110&gt;0,E110/E109,0)</f>
        <v>8268.1034482758623</v>
      </c>
      <c r="F111" s="875">
        <f t="shared" si="206"/>
        <v>6900</v>
      </c>
      <c r="G111" s="875">
        <f t="shared" si="206"/>
        <v>0</v>
      </c>
      <c r="H111" s="875">
        <f t="shared" si="206"/>
        <v>0</v>
      </c>
      <c r="I111" s="875">
        <f t="shared" si="206"/>
        <v>0</v>
      </c>
      <c r="J111" s="875">
        <f t="shared" si="206"/>
        <v>0</v>
      </c>
      <c r="K111" s="875">
        <f t="shared" si="206"/>
        <v>0</v>
      </c>
      <c r="L111" s="875">
        <f t="shared" si="206"/>
        <v>0</v>
      </c>
      <c r="M111" s="875">
        <f t="shared" si="206"/>
        <v>0</v>
      </c>
      <c r="N111" s="875">
        <f t="shared" si="206"/>
        <v>0</v>
      </c>
      <c r="O111" s="875">
        <f t="shared" si="206"/>
        <v>0</v>
      </c>
      <c r="P111" s="876">
        <f t="shared" si="206"/>
        <v>0</v>
      </c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</row>
    <row r="112" spans="1:36" s="346" customFormat="1" ht="15.75" customHeight="1" thickBot="1">
      <c r="A112" s="349"/>
      <c r="B112" s="350"/>
      <c r="C112" s="350"/>
      <c r="D112" s="351"/>
      <c r="E112" s="352"/>
      <c r="F112" s="352"/>
      <c r="G112" s="352"/>
      <c r="H112" s="352"/>
      <c r="I112" s="352"/>
      <c r="J112" s="352"/>
      <c r="K112" s="352"/>
      <c r="L112" s="352"/>
      <c r="M112" s="352"/>
      <c r="N112" s="352"/>
      <c r="O112" s="352"/>
      <c r="P112" s="352"/>
      <c r="Q112" s="115"/>
      <c r="R112" s="115"/>
      <c r="S112" s="101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</row>
    <row r="113" spans="2:36" s="318" customFormat="1" ht="15.75" customHeight="1">
      <c r="B113" s="969" t="s">
        <v>823</v>
      </c>
      <c r="C113" s="970"/>
      <c r="D113" s="359" t="s">
        <v>89</v>
      </c>
      <c r="E113" s="360" t="s">
        <v>90</v>
      </c>
      <c r="F113" s="361" t="s">
        <v>91</v>
      </c>
      <c r="G113" s="361" t="s">
        <v>92</v>
      </c>
      <c r="H113" s="361" t="s">
        <v>93</v>
      </c>
      <c r="I113" s="361" t="s">
        <v>94</v>
      </c>
      <c r="J113" s="361" t="s">
        <v>95</v>
      </c>
      <c r="K113" s="361" t="s">
        <v>96</v>
      </c>
      <c r="L113" s="361" t="s">
        <v>97</v>
      </c>
      <c r="M113" s="361" t="s">
        <v>98</v>
      </c>
      <c r="N113" s="361" t="s">
        <v>99</v>
      </c>
      <c r="O113" s="361" t="s">
        <v>100</v>
      </c>
      <c r="P113" s="362" t="s">
        <v>101</v>
      </c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</row>
    <row r="114" spans="2:36" s="317" customFormat="1" ht="15.75" customHeight="1">
      <c r="B114" s="981" t="s">
        <v>783</v>
      </c>
      <c r="C114" s="982"/>
      <c r="D114" s="978"/>
      <c r="E114" s="325">
        <f>18000000+19000000</f>
        <v>37000000</v>
      </c>
      <c r="F114" s="321">
        <f>15000000+15000000+1000000</f>
        <v>31000000</v>
      </c>
      <c r="G114" s="321"/>
      <c r="H114" s="321"/>
      <c r="I114" s="321"/>
      <c r="J114" s="322"/>
      <c r="K114" s="322"/>
      <c r="L114" s="322"/>
      <c r="M114" s="322"/>
      <c r="N114" s="322"/>
      <c r="O114" s="322"/>
      <c r="P114" s="323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</row>
    <row r="115" spans="2:36" s="318" customFormat="1" ht="15.75" customHeight="1">
      <c r="B115" s="981" t="s">
        <v>789</v>
      </c>
      <c r="C115" s="982"/>
      <c r="D115" s="979"/>
      <c r="E115" s="326">
        <f t="shared" ref="E115:H115" si="207">SUM(D122,E114)</f>
        <v>39597925</v>
      </c>
      <c r="F115" s="322">
        <f t="shared" si="207"/>
        <v>31506776</v>
      </c>
      <c r="G115" s="322">
        <f t="shared" si="207"/>
        <v>1788085</v>
      </c>
      <c r="H115" s="322">
        <f t="shared" si="207"/>
        <v>1788085</v>
      </c>
      <c r="I115" s="322">
        <f>SUM(H122,I114)</f>
        <v>1788085</v>
      </c>
      <c r="J115" s="322">
        <f t="shared" ref="J115:P115" si="208">SUM(I122,J114)</f>
        <v>1788085</v>
      </c>
      <c r="K115" s="322">
        <f t="shared" si="208"/>
        <v>1788085</v>
      </c>
      <c r="L115" s="322">
        <f t="shared" si="208"/>
        <v>1788085</v>
      </c>
      <c r="M115" s="322">
        <f t="shared" si="208"/>
        <v>1788085</v>
      </c>
      <c r="N115" s="322">
        <f t="shared" si="208"/>
        <v>1788085</v>
      </c>
      <c r="O115" s="322">
        <f t="shared" si="208"/>
        <v>1788085</v>
      </c>
      <c r="P115" s="323">
        <f t="shared" si="208"/>
        <v>1788085</v>
      </c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</row>
    <row r="116" spans="2:36" s="318" customFormat="1" ht="15.75" customHeight="1">
      <c r="B116" s="981" t="s">
        <v>785</v>
      </c>
      <c r="C116" s="982"/>
      <c r="D116" s="979"/>
      <c r="E116" s="326">
        <f>E101</f>
        <v>11382312</v>
      </c>
      <c r="F116" s="322">
        <f>F101+F106</f>
        <v>13161391</v>
      </c>
      <c r="G116" s="322">
        <f>G101+G106</f>
        <v>0</v>
      </c>
      <c r="H116" s="322">
        <f t="shared" ref="H116:P116" si="209">H101+H106</f>
        <v>0</v>
      </c>
      <c r="I116" s="322">
        <f t="shared" si="209"/>
        <v>0</v>
      </c>
      <c r="J116" s="322">
        <f t="shared" si="209"/>
        <v>0</v>
      </c>
      <c r="K116" s="322">
        <f t="shared" si="209"/>
        <v>0</v>
      </c>
      <c r="L116" s="322">
        <f t="shared" si="209"/>
        <v>0</v>
      </c>
      <c r="M116" s="322">
        <f t="shared" si="209"/>
        <v>0</v>
      </c>
      <c r="N116" s="322">
        <f t="shared" si="209"/>
        <v>0</v>
      </c>
      <c r="O116" s="322">
        <f t="shared" si="209"/>
        <v>0</v>
      </c>
      <c r="P116" s="323">
        <f t="shared" si="209"/>
        <v>0</v>
      </c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</row>
    <row r="117" spans="2:36" s="318" customFormat="1" ht="15.75" customHeight="1">
      <c r="B117" s="981" t="s">
        <v>786</v>
      </c>
      <c r="C117" s="982"/>
      <c r="D117" s="979"/>
      <c r="E117" s="325">
        <f>E36</f>
        <v>5756335</v>
      </c>
      <c r="F117" s="321">
        <f>F36</f>
        <v>5444560</v>
      </c>
      <c r="G117" s="321">
        <f>G36+G110</f>
        <v>0</v>
      </c>
      <c r="H117" s="321">
        <f t="shared" ref="H117:P117" si="210">H36+H110</f>
        <v>0</v>
      </c>
      <c r="I117" s="321">
        <f t="shared" si="210"/>
        <v>0</v>
      </c>
      <c r="J117" s="321">
        <f t="shared" si="210"/>
        <v>0</v>
      </c>
      <c r="K117" s="321">
        <f t="shared" si="210"/>
        <v>0</v>
      </c>
      <c r="L117" s="321">
        <f t="shared" si="210"/>
        <v>0</v>
      </c>
      <c r="M117" s="321">
        <f t="shared" si="210"/>
        <v>0</v>
      </c>
      <c r="N117" s="321">
        <f t="shared" si="210"/>
        <v>0</v>
      </c>
      <c r="O117" s="321">
        <f t="shared" si="210"/>
        <v>0</v>
      </c>
      <c r="P117" s="363">
        <f t="shared" si="210"/>
        <v>0</v>
      </c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</row>
    <row r="118" spans="2:36" s="317" customFormat="1" ht="15.75" customHeight="1">
      <c r="B118" s="981" t="s">
        <v>787</v>
      </c>
      <c r="C118" s="982"/>
      <c r="D118" s="979"/>
      <c r="E118" s="326">
        <v>13200</v>
      </c>
      <c r="F118" s="322">
        <f>13200+16500</f>
        <v>29700</v>
      </c>
      <c r="G118" s="322"/>
      <c r="H118" s="322"/>
      <c r="I118" s="322"/>
      <c r="J118" s="322"/>
      <c r="K118" s="322"/>
      <c r="L118" s="322"/>
      <c r="M118" s="322"/>
      <c r="N118" s="322"/>
      <c r="O118" s="322"/>
      <c r="P118" s="323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</row>
    <row r="119" spans="2:36" s="686" customFormat="1" ht="15.75" customHeight="1">
      <c r="B119" s="973" t="s">
        <v>932</v>
      </c>
      <c r="C119" s="974"/>
      <c r="D119" s="979"/>
      <c r="E119" s="326"/>
      <c r="F119" s="322">
        <f>11180000+1894000+2475000</f>
        <v>15549000</v>
      </c>
      <c r="G119" s="322"/>
      <c r="H119" s="322"/>
      <c r="I119" s="322"/>
      <c r="J119" s="322"/>
      <c r="K119" s="322"/>
      <c r="L119" s="322"/>
      <c r="M119" s="322"/>
      <c r="N119" s="322"/>
      <c r="O119" s="322"/>
      <c r="P119" s="323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</row>
    <row r="120" spans="2:36" s="494" customFormat="1" ht="15.75" customHeight="1">
      <c r="B120" s="971" t="s">
        <v>874</v>
      </c>
      <c r="C120" s="972"/>
      <c r="D120" s="979"/>
      <c r="E120" s="326">
        <f>8760000+10180000+3000000</f>
        <v>21940000</v>
      </c>
      <c r="F120" s="322">
        <f>26200000+217000+217000</f>
        <v>26634000</v>
      </c>
      <c r="G120" s="322"/>
      <c r="H120" s="322"/>
      <c r="I120" s="322"/>
      <c r="J120" s="322"/>
      <c r="K120" s="322"/>
      <c r="L120" s="322"/>
      <c r="M120" s="322"/>
      <c r="N120" s="322"/>
      <c r="O120" s="322"/>
      <c r="P120" s="323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</row>
    <row r="121" spans="2:36" s="317" customFormat="1" ht="15.75" customHeight="1">
      <c r="B121" s="971" t="s">
        <v>873</v>
      </c>
      <c r="C121" s="972"/>
      <c r="D121" s="980"/>
      <c r="E121" s="326">
        <v>-698</v>
      </c>
      <c r="F121" s="322">
        <v>-1960</v>
      </c>
      <c r="G121" s="322"/>
      <c r="H121" s="322"/>
      <c r="I121" s="322"/>
      <c r="J121" s="322"/>
      <c r="K121" s="322"/>
      <c r="L121" s="322"/>
      <c r="M121" s="322"/>
      <c r="N121" s="322"/>
      <c r="O121" s="322"/>
      <c r="P121" s="323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</row>
    <row r="122" spans="2:36" s="317" customFormat="1" ht="15.75" customHeight="1" thickBot="1">
      <c r="B122" s="983" t="s">
        <v>784</v>
      </c>
      <c r="C122" s="984"/>
      <c r="D122" s="629">
        <v>2597925</v>
      </c>
      <c r="E122" s="893">
        <f t="shared" ref="E122:N122" si="211">E115-E116-E117-E118-E121-E120</f>
        <v>506776</v>
      </c>
      <c r="F122" s="324">
        <f>F115-F116-F117-F118-F121-F120+F119</f>
        <v>1788085</v>
      </c>
      <c r="G122" s="324">
        <f t="shared" si="211"/>
        <v>1788085</v>
      </c>
      <c r="H122" s="324">
        <f t="shared" si="211"/>
        <v>1788085</v>
      </c>
      <c r="I122" s="324">
        <f t="shared" si="211"/>
        <v>1788085</v>
      </c>
      <c r="J122" s="324">
        <f t="shared" si="211"/>
        <v>1788085</v>
      </c>
      <c r="K122" s="324">
        <f t="shared" si="211"/>
        <v>1788085</v>
      </c>
      <c r="L122" s="324">
        <f t="shared" si="211"/>
        <v>1788085</v>
      </c>
      <c r="M122" s="324">
        <f t="shared" si="211"/>
        <v>1788085</v>
      </c>
      <c r="N122" s="324">
        <f t="shared" si="211"/>
        <v>1788085</v>
      </c>
      <c r="O122" s="324">
        <f t="shared" ref="O122" si="212">O115-O116-O117-O118-O121-O120</f>
        <v>1788085</v>
      </c>
      <c r="P122" s="364">
        <f>P115-P116-P117-P118-P121-P120</f>
        <v>1788085</v>
      </c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</row>
    <row r="123" spans="2:36" s="346" customFormat="1" ht="15.75" customHeight="1">
      <c r="B123" s="880" t="s">
        <v>825</v>
      </c>
      <c r="C123" s="881"/>
      <c r="D123" s="947" t="s">
        <v>827</v>
      </c>
      <c r="E123" s="882">
        <f t="shared" ref="E123:P123" si="213">E99</f>
        <v>3346576</v>
      </c>
      <c r="F123" s="883">
        <f t="shared" si="213"/>
        <v>3592774</v>
      </c>
      <c r="G123" s="883">
        <f t="shared" si="213"/>
        <v>0</v>
      </c>
      <c r="H123" s="883">
        <f t="shared" si="213"/>
        <v>0</v>
      </c>
      <c r="I123" s="883">
        <f t="shared" si="213"/>
        <v>0</v>
      </c>
      <c r="J123" s="883">
        <f t="shared" si="213"/>
        <v>0</v>
      </c>
      <c r="K123" s="883">
        <f t="shared" si="213"/>
        <v>0</v>
      </c>
      <c r="L123" s="883">
        <f t="shared" si="213"/>
        <v>0</v>
      </c>
      <c r="M123" s="883">
        <f t="shared" si="213"/>
        <v>0</v>
      </c>
      <c r="N123" s="883">
        <f t="shared" si="213"/>
        <v>0</v>
      </c>
      <c r="O123" s="883">
        <f t="shared" si="213"/>
        <v>0</v>
      </c>
      <c r="P123" s="884">
        <f t="shared" si="213"/>
        <v>0</v>
      </c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</row>
    <row r="124" spans="2:36" s="346" customFormat="1" ht="15.75" customHeight="1">
      <c r="B124" s="885" t="s">
        <v>826</v>
      </c>
      <c r="C124" s="886"/>
      <c r="D124" s="948"/>
      <c r="E124" s="887">
        <f t="shared" ref="E124:P124" si="214">E34</f>
        <v>1864150</v>
      </c>
      <c r="F124" s="888">
        <f t="shared" si="214"/>
        <v>1854720</v>
      </c>
      <c r="G124" s="888">
        <f t="shared" si="214"/>
        <v>0</v>
      </c>
      <c r="H124" s="888">
        <f t="shared" si="214"/>
        <v>0</v>
      </c>
      <c r="I124" s="888">
        <f t="shared" si="214"/>
        <v>0</v>
      </c>
      <c r="J124" s="888">
        <f t="shared" si="214"/>
        <v>0</v>
      </c>
      <c r="K124" s="888">
        <f t="shared" si="214"/>
        <v>0</v>
      </c>
      <c r="L124" s="888">
        <f t="shared" si="214"/>
        <v>0</v>
      </c>
      <c r="M124" s="888">
        <f t="shared" si="214"/>
        <v>0</v>
      </c>
      <c r="N124" s="888">
        <f t="shared" si="214"/>
        <v>0</v>
      </c>
      <c r="O124" s="888">
        <f t="shared" si="214"/>
        <v>0</v>
      </c>
      <c r="P124" s="889">
        <f t="shared" si="214"/>
        <v>0</v>
      </c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</row>
    <row r="125" spans="2:36" s="317" customFormat="1" ht="15.75" customHeight="1" thickBot="1">
      <c r="B125" s="950" t="s">
        <v>788</v>
      </c>
      <c r="C125" s="951"/>
      <c r="D125" s="949"/>
      <c r="E125" s="890">
        <f>SUM(E123:E124)</f>
        <v>5210726</v>
      </c>
      <c r="F125" s="891">
        <f t="shared" ref="F125:P125" si="215">SUM(F123:F124)</f>
        <v>5447494</v>
      </c>
      <c r="G125" s="891">
        <f t="shared" si="215"/>
        <v>0</v>
      </c>
      <c r="H125" s="891">
        <f t="shared" si="215"/>
        <v>0</v>
      </c>
      <c r="I125" s="891">
        <f t="shared" si="215"/>
        <v>0</v>
      </c>
      <c r="J125" s="891">
        <f t="shared" si="215"/>
        <v>0</v>
      </c>
      <c r="K125" s="891">
        <f t="shared" si="215"/>
        <v>0</v>
      </c>
      <c r="L125" s="891">
        <f t="shared" si="215"/>
        <v>0</v>
      </c>
      <c r="M125" s="891">
        <f t="shared" si="215"/>
        <v>0</v>
      </c>
      <c r="N125" s="891">
        <f t="shared" si="215"/>
        <v>0</v>
      </c>
      <c r="O125" s="891">
        <f t="shared" si="215"/>
        <v>0</v>
      </c>
      <c r="P125" s="892">
        <f t="shared" si="215"/>
        <v>0</v>
      </c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</row>
    <row r="126" spans="2:36" s="794" customFormat="1" ht="15.75" customHeight="1">
      <c r="B126" s="880" t="s">
        <v>988</v>
      </c>
      <c r="C126" s="881"/>
      <c r="D126" s="947" t="s">
        <v>991</v>
      </c>
      <c r="E126" s="882">
        <f t="shared" ref="E126:P126" si="216">E106</f>
        <v>1885641</v>
      </c>
      <c r="F126" s="883">
        <f t="shared" si="216"/>
        <v>1949712</v>
      </c>
      <c r="G126" s="883">
        <f t="shared" si="216"/>
        <v>0</v>
      </c>
      <c r="H126" s="883">
        <f t="shared" si="216"/>
        <v>0</v>
      </c>
      <c r="I126" s="883">
        <f t="shared" si="216"/>
        <v>0</v>
      </c>
      <c r="J126" s="883">
        <f t="shared" si="216"/>
        <v>0</v>
      </c>
      <c r="K126" s="883">
        <f t="shared" si="216"/>
        <v>0</v>
      </c>
      <c r="L126" s="883">
        <f t="shared" si="216"/>
        <v>0</v>
      </c>
      <c r="M126" s="883">
        <f t="shared" si="216"/>
        <v>0</v>
      </c>
      <c r="N126" s="883">
        <f t="shared" si="216"/>
        <v>0</v>
      </c>
      <c r="O126" s="883">
        <f t="shared" si="216"/>
        <v>0</v>
      </c>
      <c r="P126" s="884">
        <f t="shared" si="216"/>
        <v>0</v>
      </c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</row>
    <row r="127" spans="2:36" s="794" customFormat="1" ht="15.75" customHeight="1">
      <c r="B127" s="885" t="s">
        <v>989</v>
      </c>
      <c r="C127" s="886"/>
      <c r="D127" s="948"/>
      <c r="E127" s="887">
        <f>E110</f>
        <v>239775</v>
      </c>
      <c r="F127" s="888">
        <f>F110</f>
        <v>138000</v>
      </c>
      <c r="G127" s="888">
        <f t="shared" ref="G127:O127" si="217">G110</f>
        <v>0</v>
      </c>
      <c r="H127" s="888">
        <f t="shared" si="217"/>
        <v>0</v>
      </c>
      <c r="I127" s="888">
        <f t="shared" si="217"/>
        <v>0</v>
      </c>
      <c r="J127" s="888">
        <f t="shared" si="217"/>
        <v>0</v>
      </c>
      <c r="K127" s="888">
        <f t="shared" si="217"/>
        <v>0</v>
      </c>
      <c r="L127" s="888">
        <f t="shared" si="217"/>
        <v>0</v>
      </c>
      <c r="M127" s="888">
        <f t="shared" si="217"/>
        <v>0</v>
      </c>
      <c r="N127" s="888">
        <f t="shared" si="217"/>
        <v>0</v>
      </c>
      <c r="O127" s="888">
        <f t="shared" si="217"/>
        <v>0</v>
      </c>
      <c r="P127" s="889">
        <f>P110</f>
        <v>0</v>
      </c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</row>
    <row r="128" spans="2:36" s="794" customFormat="1" ht="15.75" customHeight="1" thickBot="1">
      <c r="B128" s="950" t="s">
        <v>990</v>
      </c>
      <c r="C128" s="951"/>
      <c r="D128" s="949"/>
      <c r="E128" s="890">
        <f>SUM(E126:E127)</f>
        <v>2125416</v>
      </c>
      <c r="F128" s="891">
        <f t="shared" ref="F128:P128" si="218">SUM(F126:F127)</f>
        <v>2087712</v>
      </c>
      <c r="G128" s="891">
        <f t="shared" si="218"/>
        <v>0</v>
      </c>
      <c r="H128" s="891">
        <f t="shared" si="218"/>
        <v>0</v>
      </c>
      <c r="I128" s="891">
        <f t="shared" si="218"/>
        <v>0</v>
      </c>
      <c r="J128" s="891">
        <f t="shared" si="218"/>
        <v>0</v>
      </c>
      <c r="K128" s="891">
        <f t="shared" si="218"/>
        <v>0</v>
      </c>
      <c r="L128" s="891">
        <f t="shared" si="218"/>
        <v>0</v>
      </c>
      <c r="M128" s="891">
        <f t="shared" si="218"/>
        <v>0</v>
      </c>
      <c r="N128" s="891">
        <f t="shared" si="218"/>
        <v>0</v>
      </c>
      <c r="O128" s="891">
        <f t="shared" si="218"/>
        <v>0</v>
      </c>
      <c r="P128" s="892">
        <f t="shared" si="218"/>
        <v>0</v>
      </c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</row>
    <row r="129" spans="1:36" s="346" customFormat="1" ht="15.75" customHeight="1">
      <c r="B129" s="353" t="s">
        <v>829</v>
      </c>
      <c r="C129" s="354"/>
      <c r="D129" s="962" t="s">
        <v>828</v>
      </c>
      <c r="E129" s="365">
        <f t="shared" ref="E129:P129" si="219">E102</f>
        <v>8035736</v>
      </c>
      <c r="F129" s="355">
        <f t="shared" si="219"/>
        <v>7618905</v>
      </c>
      <c r="G129" s="355">
        <f t="shared" si="219"/>
        <v>0</v>
      </c>
      <c r="H129" s="355">
        <f t="shared" si="219"/>
        <v>0</v>
      </c>
      <c r="I129" s="355">
        <f t="shared" si="219"/>
        <v>0</v>
      </c>
      <c r="J129" s="355">
        <f t="shared" si="219"/>
        <v>0</v>
      </c>
      <c r="K129" s="355">
        <f t="shared" si="219"/>
        <v>0</v>
      </c>
      <c r="L129" s="355">
        <f t="shared" si="219"/>
        <v>0</v>
      </c>
      <c r="M129" s="355">
        <f t="shared" si="219"/>
        <v>0</v>
      </c>
      <c r="N129" s="355">
        <f t="shared" si="219"/>
        <v>0</v>
      </c>
      <c r="O129" s="355">
        <f t="shared" si="219"/>
        <v>0</v>
      </c>
      <c r="P129" s="356">
        <f t="shared" si="219"/>
        <v>0</v>
      </c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</row>
    <row r="130" spans="1:36" s="346" customFormat="1" ht="15.75" customHeight="1">
      <c r="B130" s="357" t="s">
        <v>830</v>
      </c>
      <c r="C130" s="347"/>
      <c r="D130" s="963"/>
      <c r="E130" s="366">
        <f t="shared" ref="E130:P130" si="220">E37</f>
        <v>3892185</v>
      </c>
      <c r="F130" s="348">
        <f t="shared" si="220"/>
        <v>3589840</v>
      </c>
      <c r="G130" s="348">
        <f t="shared" si="220"/>
        <v>0</v>
      </c>
      <c r="H130" s="348">
        <f t="shared" si="220"/>
        <v>0</v>
      </c>
      <c r="I130" s="348">
        <f t="shared" si="220"/>
        <v>0</v>
      </c>
      <c r="J130" s="348">
        <f t="shared" si="220"/>
        <v>0</v>
      </c>
      <c r="K130" s="348">
        <f t="shared" si="220"/>
        <v>0</v>
      </c>
      <c r="L130" s="348">
        <f t="shared" si="220"/>
        <v>0</v>
      </c>
      <c r="M130" s="348">
        <f t="shared" si="220"/>
        <v>0</v>
      </c>
      <c r="N130" s="348">
        <f t="shared" si="220"/>
        <v>0</v>
      </c>
      <c r="O130" s="348">
        <f t="shared" si="220"/>
        <v>0</v>
      </c>
      <c r="P130" s="358">
        <f t="shared" si="220"/>
        <v>0</v>
      </c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</row>
    <row r="131" spans="1:36" s="346" customFormat="1" ht="15.75" customHeight="1" thickBot="1">
      <c r="B131" s="965" t="s">
        <v>780</v>
      </c>
      <c r="C131" s="966"/>
      <c r="D131" s="964"/>
      <c r="E131" s="514">
        <f>SUM(E129:E130)</f>
        <v>11927921</v>
      </c>
      <c r="F131" s="515">
        <f t="shared" ref="F131" si="221">SUM(F129:F130)</f>
        <v>11208745</v>
      </c>
      <c r="G131" s="515">
        <f t="shared" ref="G131" si="222">SUM(G129:G130)</f>
        <v>0</v>
      </c>
      <c r="H131" s="515">
        <f t="shared" ref="H131" si="223">SUM(H129:H130)</f>
        <v>0</v>
      </c>
      <c r="I131" s="515">
        <f t="shared" ref="I131" si="224">SUM(I129:I130)</f>
        <v>0</v>
      </c>
      <c r="J131" s="515">
        <f t="shared" ref="J131" si="225">SUM(J129:J130)</f>
        <v>0</v>
      </c>
      <c r="K131" s="515">
        <f t="shared" ref="K131" si="226">SUM(K129:K130)</f>
        <v>0</v>
      </c>
      <c r="L131" s="515">
        <f t="shared" ref="L131" si="227">SUM(L129:L130)</f>
        <v>0</v>
      </c>
      <c r="M131" s="515">
        <f t="shared" ref="M131" si="228">SUM(M129:M130)</f>
        <v>0</v>
      </c>
      <c r="N131" s="515">
        <f t="shared" ref="N131" si="229">SUM(N129:N130)</f>
        <v>0</v>
      </c>
      <c r="O131" s="515">
        <f t="shared" ref="O131" si="230">SUM(O129:O130)</f>
        <v>0</v>
      </c>
      <c r="P131" s="516">
        <f t="shared" ref="P131" si="231">SUM(P129:P130)</f>
        <v>0</v>
      </c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</row>
    <row r="132" spans="1:36" s="318" customFormat="1" ht="15.75" customHeight="1">
      <c r="A132" s="316"/>
      <c r="B132" s="956" t="s">
        <v>780</v>
      </c>
      <c r="C132" s="957"/>
      <c r="D132" s="499" t="s">
        <v>128</v>
      </c>
      <c r="E132" s="503">
        <f t="shared" ref="E132:P132" si="232">E101-E99</f>
        <v>8035736</v>
      </c>
      <c r="F132" s="309">
        <f t="shared" si="232"/>
        <v>7618905</v>
      </c>
      <c r="G132" s="309">
        <f t="shared" si="232"/>
        <v>0</v>
      </c>
      <c r="H132" s="309">
        <f t="shared" si="232"/>
        <v>0</v>
      </c>
      <c r="I132" s="309">
        <f t="shared" si="232"/>
        <v>0</v>
      </c>
      <c r="J132" s="309">
        <f t="shared" si="232"/>
        <v>0</v>
      </c>
      <c r="K132" s="309">
        <f t="shared" si="232"/>
        <v>0</v>
      </c>
      <c r="L132" s="309">
        <f t="shared" si="232"/>
        <v>0</v>
      </c>
      <c r="M132" s="309">
        <f t="shared" si="232"/>
        <v>0</v>
      </c>
      <c r="N132" s="309">
        <f t="shared" si="232"/>
        <v>0</v>
      </c>
      <c r="O132" s="309">
        <f t="shared" si="232"/>
        <v>0</v>
      </c>
      <c r="P132" s="310">
        <f t="shared" si="232"/>
        <v>0</v>
      </c>
      <c r="Q132" s="115"/>
      <c r="R132" s="115"/>
      <c r="S132" s="101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</row>
    <row r="133" spans="1:36" s="318" customFormat="1" ht="15.75" customHeight="1">
      <c r="A133" s="316"/>
      <c r="B133" s="958" t="s">
        <v>781</v>
      </c>
      <c r="C133" s="959"/>
      <c r="D133" s="500" t="s">
        <v>128</v>
      </c>
      <c r="E133" s="502">
        <f t="shared" ref="E133:P133" si="233">SUMIF($C$41:$C$100,"Home-a",E41:E100)-E98</f>
        <v>4165</v>
      </c>
      <c r="F133" s="502">
        <f t="shared" si="233"/>
        <v>4017</v>
      </c>
      <c r="G133" s="502">
        <f t="shared" si="233"/>
        <v>1880</v>
      </c>
      <c r="H133" s="502">
        <f t="shared" si="233"/>
        <v>0</v>
      </c>
      <c r="I133" s="502">
        <f t="shared" si="233"/>
        <v>0</v>
      </c>
      <c r="J133" s="502">
        <f t="shared" si="233"/>
        <v>0</v>
      </c>
      <c r="K133" s="502">
        <f t="shared" si="233"/>
        <v>0</v>
      </c>
      <c r="L133" s="502">
        <f t="shared" si="233"/>
        <v>0</v>
      </c>
      <c r="M133" s="502">
        <f t="shared" si="233"/>
        <v>0</v>
      </c>
      <c r="N133" s="502">
        <f t="shared" si="233"/>
        <v>0</v>
      </c>
      <c r="O133" s="502">
        <f t="shared" si="233"/>
        <v>0</v>
      </c>
      <c r="P133" s="502">
        <f t="shared" si="233"/>
        <v>0</v>
      </c>
      <c r="Q133" s="115"/>
      <c r="R133" s="115"/>
      <c r="S133" s="101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</row>
    <row r="134" spans="1:36" s="303" customFormat="1" ht="15.75" customHeight="1" thickBot="1">
      <c r="A134" s="316"/>
      <c r="B134" s="958" t="s">
        <v>782</v>
      </c>
      <c r="C134" s="959"/>
      <c r="D134" s="500" t="s">
        <v>128</v>
      </c>
      <c r="E134" s="508">
        <f t="shared" ref="E134:P134" si="234">IF(E133=0,0,(E132/E133))</f>
        <v>1929.3483793517407</v>
      </c>
      <c r="F134" s="509">
        <f t="shared" si="234"/>
        <v>1896.665421956684</v>
      </c>
      <c r="G134" s="509">
        <f t="shared" si="234"/>
        <v>0</v>
      </c>
      <c r="H134" s="509">
        <f t="shared" si="234"/>
        <v>0</v>
      </c>
      <c r="I134" s="509">
        <f t="shared" si="234"/>
        <v>0</v>
      </c>
      <c r="J134" s="509">
        <f t="shared" si="234"/>
        <v>0</v>
      </c>
      <c r="K134" s="509">
        <f t="shared" si="234"/>
        <v>0</v>
      </c>
      <c r="L134" s="509">
        <f t="shared" si="234"/>
        <v>0</v>
      </c>
      <c r="M134" s="509">
        <f t="shared" si="234"/>
        <v>0</v>
      </c>
      <c r="N134" s="509">
        <f t="shared" si="234"/>
        <v>0</v>
      </c>
      <c r="O134" s="509">
        <f t="shared" si="234"/>
        <v>0</v>
      </c>
      <c r="P134" s="510">
        <f t="shared" si="234"/>
        <v>0</v>
      </c>
      <c r="Q134" s="115"/>
      <c r="R134" s="115"/>
      <c r="S134" s="101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</row>
    <row r="135" spans="1:36" s="496" customFormat="1" ht="15.75" customHeight="1">
      <c r="A135" s="316"/>
      <c r="B135" s="956" t="s">
        <v>780</v>
      </c>
      <c r="C135" s="957"/>
      <c r="D135" s="499" t="s">
        <v>139</v>
      </c>
      <c r="E135" s="503">
        <f t="shared" ref="E135:P135" si="235">E36-E34</f>
        <v>3892185</v>
      </c>
      <c r="F135" s="309">
        <f t="shared" si="235"/>
        <v>3589840</v>
      </c>
      <c r="G135" s="309">
        <f t="shared" si="235"/>
        <v>0</v>
      </c>
      <c r="H135" s="309">
        <f t="shared" si="235"/>
        <v>0</v>
      </c>
      <c r="I135" s="309">
        <f t="shared" si="235"/>
        <v>0</v>
      </c>
      <c r="J135" s="309">
        <f t="shared" si="235"/>
        <v>0</v>
      </c>
      <c r="K135" s="309">
        <f t="shared" si="235"/>
        <v>0</v>
      </c>
      <c r="L135" s="309">
        <f t="shared" si="235"/>
        <v>0</v>
      </c>
      <c r="M135" s="309">
        <f t="shared" si="235"/>
        <v>0</v>
      </c>
      <c r="N135" s="309">
        <f t="shared" si="235"/>
        <v>0</v>
      </c>
      <c r="O135" s="309">
        <f t="shared" si="235"/>
        <v>0</v>
      </c>
      <c r="P135" s="310">
        <f t="shared" si="235"/>
        <v>0</v>
      </c>
      <c r="Q135" s="115"/>
      <c r="R135" s="115"/>
      <c r="S135" s="101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</row>
    <row r="136" spans="1:36" s="496" customFormat="1" ht="15.75" customHeight="1">
      <c r="A136" s="316"/>
      <c r="B136" s="958" t="s">
        <v>781</v>
      </c>
      <c r="C136" s="959"/>
      <c r="D136" s="500" t="s">
        <v>139</v>
      </c>
      <c r="E136" s="502">
        <f t="shared" ref="E136:P136" si="236">SUMIF($C$4:$C$35,"Home-a",E4:E35)-E33</f>
        <v>312</v>
      </c>
      <c r="F136" s="502">
        <f t="shared" si="236"/>
        <v>288</v>
      </c>
      <c r="G136" s="502">
        <f t="shared" si="236"/>
        <v>0</v>
      </c>
      <c r="H136" s="502">
        <f t="shared" si="236"/>
        <v>0</v>
      </c>
      <c r="I136" s="502">
        <f t="shared" si="236"/>
        <v>0</v>
      </c>
      <c r="J136" s="502">
        <f t="shared" si="236"/>
        <v>0</v>
      </c>
      <c r="K136" s="502">
        <f t="shared" si="236"/>
        <v>0</v>
      </c>
      <c r="L136" s="502">
        <f t="shared" si="236"/>
        <v>0</v>
      </c>
      <c r="M136" s="502">
        <f t="shared" si="236"/>
        <v>0</v>
      </c>
      <c r="N136" s="502">
        <f t="shared" si="236"/>
        <v>0</v>
      </c>
      <c r="O136" s="502">
        <f t="shared" si="236"/>
        <v>0</v>
      </c>
      <c r="P136" s="502">
        <f t="shared" si="236"/>
        <v>0</v>
      </c>
      <c r="Q136" s="115"/>
      <c r="R136" s="115"/>
      <c r="S136" s="101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</row>
    <row r="137" spans="1:36" s="496" customFormat="1" ht="15.75" customHeight="1" thickBot="1">
      <c r="A137" s="316"/>
      <c r="B137" s="985" t="s">
        <v>782</v>
      </c>
      <c r="C137" s="986"/>
      <c r="D137" s="501" t="s">
        <v>139</v>
      </c>
      <c r="E137" s="504">
        <f>IF(E136=0,0,(E135/E136))</f>
        <v>12474.951923076924</v>
      </c>
      <c r="F137" s="505">
        <f t="shared" ref="F137:P137" si="237">IF(F136=0,0,(F135/F136))</f>
        <v>12464.722222222223</v>
      </c>
      <c r="G137" s="505">
        <f t="shared" si="237"/>
        <v>0</v>
      </c>
      <c r="H137" s="505">
        <f t="shared" si="237"/>
        <v>0</v>
      </c>
      <c r="I137" s="505">
        <f t="shared" si="237"/>
        <v>0</v>
      </c>
      <c r="J137" s="505">
        <f t="shared" si="237"/>
        <v>0</v>
      </c>
      <c r="K137" s="505">
        <f t="shared" si="237"/>
        <v>0</v>
      </c>
      <c r="L137" s="505">
        <f t="shared" si="237"/>
        <v>0</v>
      </c>
      <c r="M137" s="505">
        <f t="shared" si="237"/>
        <v>0</v>
      </c>
      <c r="N137" s="505">
        <f t="shared" si="237"/>
        <v>0</v>
      </c>
      <c r="O137" s="505">
        <f t="shared" si="237"/>
        <v>0</v>
      </c>
      <c r="P137" s="506">
        <f t="shared" si="237"/>
        <v>0</v>
      </c>
      <c r="Q137" s="115"/>
      <c r="R137" s="115"/>
      <c r="S137" s="101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</row>
    <row r="138" spans="1:36" ht="15.75" customHeight="1" thickBot="1">
      <c r="B138" s="965" t="s">
        <v>780</v>
      </c>
      <c r="C138" s="966"/>
      <c r="D138" s="507" t="s">
        <v>733</v>
      </c>
      <c r="E138" s="517">
        <f>E132+E135</f>
        <v>11927921</v>
      </c>
      <c r="F138" s="518">
        <f t="shared" ref="F138:P138" si="238">F132+F135</f>
        <v>11208745</v>
      </c>
      <c r="G138" s="518">
        <f t="shared" si="238"/>
        <v>0</v>
      </c>
      <c r="H138" s="518">
        <f t="shared" si="238"/>
        <v>0</v>
      </c>
      <c r="I138" s="518">
        <f t="shared" si="238"/>
        <v>0</v>
      </c>
      <c r="J138" s="518">
        <f t="shared" si="238"/>
        <v>0</v>
      </c>
      <c r="K138" s="518">
        <f t="shared" si="238"/>
        <v>0</v>
      </c>
      <c r="L138" s="518">
        <f t="shared" si="238"/>
        <v>0</v>
      </c>
      <c r="M138" s="518">
        <f t="shared" si="238"/>
        <v>0</v>
      </c>
      <c r="N138" s="518">
        <f t="shared" si="238"/>
        <v>0</v>
      </c>
      <c r="O138" s="518">
        <f t="shared" si="238"/>
        <v>0</v>
      </c>
      <c r="P138" s="519">
        <f t="shared" si="238"/>
        <v>0</v>
      </c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  <c r="AJ138" s="101"/>
    </row>
    <row r="139" spans="1:36" ht="15.75" customHeight="1">
      <c r="B139" s="959"/>
      <c r="C139" s="959"/>
      <c r="D139" s="320"/>
      <c r="E139" s="319">
        <f t="shared" ref="E139:P139" si="239">SUMIF($C$41:$C$100,"Home-a",E41:E100)-E98</f>
        <v>4165</v>
      </c>
      <c r="F139" s="319">
        <f t="shared" si="239"/>
        <v>4017</v>
      </c>
      <c r="G139" s="319">
        <f t="shared" si="239"/>
        <v>1880</v>
      </c>
      <c r="H139" s="319">
        <f t="shared" si="239"/>
        <v>0</v>
      </c>
      <c r="I139" s="319">
        <f t="shared" si="239"/>
        <v>0</v>
      </c>
      <c r="J139" s="319">
        <f t="shared" si="239"/>
        <v>0</v>
      </c>
      <c r="K139" s="319">
        <f t="shared" si="239"/>
        <v>0</v>
      </c>
      <c r="L139" s="319">
        <f t="shared" si="239"/>
        <v>0</v>
      </c>
      <c r="M139" s="319">
        <f t="shared" si="239"/>
        <v>0</v>
      </c>
      <c r="N139" s="319">
        <f t="shared" si="239"/>
        <v>0</v>
      </c>
      <c r="O139" s="319">
        <f t="shared" si="239"/>
        <v>0</v>
      </c>
      <c r="P139" s="319">
        <f t="shared" si="239"/>
        <v>0</v>
      </c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</row>
    <row r="140" spans="1:36" ht="15.75" customHeight="1">
      <c r="B140" s="977" t="s">
        <v>264</v>
      </c>
      <c r="C140" s="895"/>
      <c r="D140" s="895"/>
      <c r="E140" s="895"/>
      <c r="F140" s="895"/>
      <c r="G140" s="895"/>
      <c r="H140" s="895"/>
      <c r="I140" s="895"/>
      <c r="J140" s="895"/>
      <c r="K140" s="895"/>
      <c r="L140" s="895"/>
      <c r="M140" s="895"/>
      <c r="N140" s="895"/>
      <c r="O140" s="895"/>
    </row>
    <row r="141" spans="1:36" ht="15.75" customHeight="1"/>
    <row r="142" spans="1:36" ht="15.75" customHeight="1">
      <c r="A142" s="133" t="s">
        <v>3</v>
      </c>
      <c r="B142" s="134" t="s">
        <v>155</v>
      </c>
      <c r="C142" s="135" t="s">
        <v>67</v>
      </c>
      <c r="D142" s="136" t="s">
        <v>89</v>
      </c>
      <c r="E142" s="103" t="s">
        <v>90</v>
      </c>
      <c r="F142" s="103" t="s">
        <v>91</v>
      </c>
      <c r="G142" s="103" t="s">
        <v>92</v>
      </c>
      <c r="H142" s="103" t="s">
        <v>93</v>
      </c>
      <c r="I142" s="103" t="s">
        <v>94</v>
      </c>
      <c r="J142" s="103" t="s">
        <v>95</v>
      </c>
      <c r="K142" s="103" t="s">
        <v>96</v>
      </c>
      <c r="L142" s="103" t="s">
        <v>97</v>
      </c>
      <c r="M142" s="103" t="s">
        <v>98</v>
      </c>
      <c r="N142" s="103" t="s">
        <v>99</v>
      </c>
      <c r="O142" s="103" t="s">
        <v>100</v>
      </c>
      <c r="P142" s="104" t="s">
        <v>101</v>
      </c>
    </row>
    <row r="143" spans="1:36" ht="15.75" customHeight="1">
      <c r="A143" s="137">
        <v>1</v>
      </c>
      <c r="B143" s="138" t="s">
        <v>189</v>
      </c>
      <c r="C143" s="139" t="s">
        <v>157</v>
      </c>
      <c r="D143" s="140">
        <f t="shared" ref="D143:P143" si="240">D4</f>
        <v>256</v>
      </c>
      <c r="E143" s="140">
        <f t="shared" si="240"/>
        <v>267</v>
      </c>
      <c r="F143" s="140">
        <f t="shared" si="240"/>
        <v>279</v>
      </c>
      <c r="G143" s="140">
        <f t="shared" si="240"/>
        <v>0</v>
      </c>
      <c r="H143" s="140">
        <f t="shared" si="240"/>
        <v>0</v>
      </c>
      <c r="I143" s="140">
        <f t="shared" si="240"/>
        <v>0</v>
      </c>
      <c r="J143" s="140">
        <f t="shared" si="240"/>
        <v>0</v>
      </c>
      <c r="K143" s="140">
        <f t="shared" si="240"/>
        <v>0</v>
      </c>
      <c r="L143" s="140">
        <f t="shared" si="240"/>
        <v>0</v>
      </c>
      <c r="M143" s="140">
        <f t="shared" si="240"/>
        <v>0</v>
      </c>
      <c r="N143" s="140">
        <f t="shared" si="240"/>
        <v>0</v>
      </c>
      <c r="O143" s="140">
        <f t="shared" si="240"/>
        <v>0</v>
      </c>
      <c r="P143" s="141">
        <f t="shared" si="240"/>
        <v>0</v>
      </c>
    </row>
    <row r="144" spans="1:36" ht="15.75" customHeight="1">
      <c r="A144" s="142">
        <v>2</v>
      </c>
      <c r="B144" s="143" t="s">
        <v>185</v>
      </c>
      <c r="C144" s="111" t="s">
        <v>157</v>
      </c>
      <c r="D144" s="144">
        <f t="shared" ref="D144:P144" si="241">D8</f>
        <v>28</v>
      </c>
      <c r="E144" s="144">
        <f t="shared" si="241"/>
        <v>37</v>
      </c>
      <c r="F144" s="144">
        <f t="shared" si="241"/>
        <v>49</v>
      </c>
      <c r="G144" s="144">
        <f t="shared" si="241"/>
        <v>0</v>
      </c>
      <c r="H144" s="144">
        <f t="shared" si="241"/>
        <v>0</v>
      </c>
      <c r="I144" s="144">
        <f t="shared" si="241"/>
        <v>0</v>
      </c>
      <c r="J144" s="144">
        <f t="shared" si="241"/>
        <v>0</v>
      </c>
      <c r="K144" s="144">
        <f t="shared" si="241"/>
        <v>0</v>
      </c>
      <c r="L144" s="144">
        <f t="shared" si="241"/>
        <v>0</v>
      </c>
      <c r="M144" s="144">
        <f t="shared" si="241"/>
        <v>0</v>
      </c>
      <c r="N144" s="144">
        <f t="shared" si="241"/>
        <v>0</v>
      </c>
      <c r="O144" s="144">
        <f t="shared" si="241"/>
        <v>0</v>
      </c>
      <c r="P144" s="145">
        <f t="shared" si="241"/>
        <v>0</v>
      </c>
    </row>
    <row r="145" spans="1:16" ht="15.75" customHeight="1">
      <c r="A145" s="142">
        <v>3</v>
      </c>
      <c r="B145" s="146" t="s">
        <v>181</v>
      </c>
      <c r="C145" s="105" t="s">
        <v>157</v>
      </c>
      <c r="D145" s="144">
        <f t="shared" ref="D145:P145" si="242">D12</f>
        <v>27</v>
      </c>
      <c r="E145" s="144">
        <f t="shared" si="242"/>
        <v>37</v>
      </c>
      <c r="F145" s="144">
        <f t="shared" si="242"/>
        <v>51</v>
      </c>
      <c r="G145" s="144">
        <f t="shared" si="242"/>
        <v>0</v>
      </c>
      <c r="H145" s="144">
        <f t="shared" si="242"/>
        <v>0</v>
      </c>
      <c r="I145" s="144">
        <f t="shared" si="242"/>
        <v>0</v>
      </c>
      <c r="J145" s="144">
        <f t="shared" si="242"/>
        <v>0</v>
      </c>
      <c r="K145" s="144">
        <f t="shared" si="242"/>
        <v>0</v>
      </c>
      <c r="L145" s="144">
        <f t="shared" si="242"/>
        <v>0</v>
      </c>
      <c r="M145" s="144">
        <f t="shared" si="242"/>
        <v>0</v>
      </c>
      <c r="N145" s="144">
        <f t="shared" si="242"/>
        <v>0</v>
      </c>
      <c r="O145" s="144">
        <f t="shared" si="242"/>
        <v>0</v>
      </c>
      <c r="P145" s="145">
        <f t="shared" si="242"/>
        <v>0</v>
      </c>
    </row>
    <row r="146" spans="1:16" ht="15.75" customHeight="1">
      <c r="A146" s="142">
        <v>4</v>
      </c>
      <c r="B146" s="143" t="s">
        <v>164</v>
      </c>
      <c r="C146" s="111" t="s">
        <v>157</v>
      </c>
      <c r="D146" s="144">
        <f t="shared" ref="D146:P146" si="243">D24</f>
        <v>256</v>
      </c>
      <c r="E146" s="144">
        <f t="shared" si="243"/>
        <v>272</v>
      </c>
      <c r="F146" s="144">
        <f t="shared" si="243"/>
        <v>289</v>
      </c>
      <c r="G146" s="144">
        <f t="shared" si="243"/>
        <v>0</v>
      </c>
      <c r="H146" s="144">
        <f t="shared" si="243"/>
        <v>0</v>
      </c>
      <c r="I146" s="144">
        <f t="shared" si="243"/>
        <v>0</v>
      </c>
      <c r="J146" s="144">
        <f t="shared" si="243"/>
        <v>0</v>
      </c>
      <c r="K146" s="144">
        <f t="shared" si="243"/>
        <v>0</v>
      </c>
      <c r="L146" s="144">
        <f t="shared" si="243"/>
        <v>0</v>
      </c>
      <c r="M146" s="144">
        <f t="shared" si="243"/>
        <v>0</v>
      </c>
      <c r="N146" s="144">
        <f t="shared" si="243"/>
        <v>0</v>
      </c>
      <c r="O146" s="144">
        <f t="shared" si="243"/>
        <v>0</v>
      </c>
      <c r="P146" s="145">
        <f t="shared" si="243"/>
        <v>0</v>
      </c>
    </row>
    <row r="147" spans="1:16" ht="15.75" customHeight="1">
      <c r="A147" s="142">
        <v>5</v>
      </c>
      <c r="B147" s="146" t="s">
        <v>156</v>
      </c>
      <c r="C147" s="105" t="s">
        <v>157</v>
      </c>
      <c r="D147" s="144">
        <f t="shared" ref="D147:P147" si="244">D28</f>
        <v>250</v>
      </c>
      <c r="E147" s="144">
        <f t="shared" si="244"/>
        <v>267</v>
      </c>
      <c r="F147" s="144">
        <f t="shared" si="244"/>
        <v>289</v>
      </c>
      <c r="G147" s="144">
        <f t="shared" si="244"/>
        <v>0</v>
      </c>
      <c r="H147" s="144">
        <f t="shared" si="244"/>
        <v>0</v>
      </c>
      <c r="I147" s="144">
        <f t="shared" si="244"/>
        <v>0</v>
      </c>
      <c r="J147" s="144">
        <f t="shared" si="244"/>
        <v>0</v>
      </c>
      <c r="K147" s="144">
        <f t="shared" si="244"/>
        <v>0</v>
      </c>
      <c r="L147" s="144">
        <f t="shared" si="244"/>
        <v>0</v>
      </c>
      <c r="M147" s="144">
        <f t="shared" si="244"/>
        <v>0</v>
      </c>
      <c r="N147" s="144">
        <f t="shared" si="244"/>
        <v>0</v>
      </c>
      <c r="O147" s="144">
        <f t="shared" si="244"/>
        <v>0</v>
      </c>
      <c r="P147" s="145">
        <f t="shared" si="244"/>
        <v>0</v>
      </c>
    </row>
    <row r="148" spans="1:16" ht="15.75" customHeight="1">
      <c r="A148" s="142">
        <v>6</v>
      </c>
      <c r="B148" s="143" t="s">
        <v>192</v>
      </c>
      <c r="C148" s="111" t="s">
        <v>157</v>
      </c>
      <c r="D148" s="144">
        <f t="shared" ref="D148:P148" si="245">D32</f>
        <v>2615</v>
      </c>
      <c r="E148" s="144">
        <f t="shared" si="245"/>
        <v>2747</v>
      </c>
      <c r="F148" s="144">
        <f t="shared" si="245"/>
        <v>2873</v>
      </c>
      <c r="G148" s="144">
        <f t="shared" si="245"/>
        <v>0</v>
      </c>
      <c r="H148" s="144">
        <f t="shared" si="245"/>
        <v>0</v>
      </c>
      <c r="I148" s="144">
        <f t="shared" si="245"/>
        <v>0</v>
      </c>
      <c r="J148" s="144">
        <f t="shared" si="245"/>
        <v>0</v>
      </c>
      <c r="K148" s="144">
        <f t="shared" si="245"/>
        <v>0</v>
      </c>
      <c r="L148" s="144">
        <f t="shared" si="245"/>
        <v>0</v>
      </c>
      <c r="M148" s="144">
        <f t="shared" si="245"/>
        <v>0</v>
      </c>
      <c r="N148" s="144">
        <f t="shared" si="245"/>
        <v>0</v>
      </c>
      <c r="O148" s="144">
        <f t="shared" si="245"/>
        <v>0</v>
      </c>
      <c r="P148" s="145">
        <f t="shared" si="245"/>
        <v>0</v>
      </c>
    </row>
    <row r="149" spans="1:16" ht="15.75" customHeight="1">
      <c r="A149" s="142">
        <v>7</v>
      </c>
      <c r="B149" s="146" t="s">
        <v>174</v>
      </c>
      <c r="C149" s="105" t="s">
        <v>157</v>
      </c>
      <c r="D149" s="144">
        <f t="shared" ref="D149:P149" si="246">D16</f>
        <v>1200</v>
      </c>
      <c r="E149" s="144">
        <f t="shared" si="246"/>
        <v>1332</v>
      </c>
      <c r="F149" s="144">
        <f t="shared" si="246"/>
        <v>1447</v>
      </c>
      <c r="G149" s="144">
        <f t="shared" si="246"/>
        <v>0</v>
      </c>
      <c r="H149" s="144">
        <f t="shared" si="246"/>
        <v>0</v>
      </c>
      <c r="I149" s="144">
        <f t="shared" si="246"/>
        <v>0</v>
      </c>
      <c r="J149" s="144">
        <f t="shared" si="246"/>
        <v>0</v>
      </c>
      <c r="K149" s="144">
        <f t="shared" si="246"/>
        <v>0</v>
      </c>
      <c r="L149" s="144">
        <f t="shared" si="246"/>
        <v>0</v>
      </c>
      <c r="M149" s="144">
        <f t="shared" si="246"/>
        <v>0</v>
      </c>
      <c r="N149" s="144">
        <f t="shared" si="246"/>
        <v>0</v>
      </c>
      <c r="O149" s="144">
        <f t="shared" si="246"/>
        <v>0</v>
      </c>
      <c r="P149" s="145">
        <f t="shared" si="246"/>
        <v>0</v>
      </c>
    </row>
    <row r="150" spans="1:16" ht="15.75" customHeight="1">
      <c r="A150" s="147">
        <v>8</v>
      </c>
      <c r="B150" s="148" t="s">
        <v>177</v>
      </c>
      <c r="C150" s="149" t="s">
        <v>157</v>
      </c>
      <c r="D150" s="150">
        <f t="shared" ref="D150:P150" si="247">D20</f>
        <v>572</v>
      </c>
      <c r="E150" s="150">
        <f t="shared" si="247"/>
        <v>716</v>
      </c>
      <c r="F150" s="150">
        <f t="shared" si="247"/>
        <v>841</v>
      </c>
      <c r="G150" s="150">
        <f t="shared" si="247"/>
        <v>0</v>
      </c>
      <c r="H150" s="150">
        <f t="shared" si="247"/>
        <v>0</v>
      </c>
      <c r="I150" s="150">
        <f t="shared" si="247"/>
        <v>0</v>
      </c>
      <c r="J150" s="150">
        <f t="shared" si="247"/>
        <v>0</v>
      </c>
      <c r="K150" s="150">
        <f t="shared" si="247"/>
        <v>0</v>
      </c>
      <c r="L150" s="150">
        <f t="shared" si="247"/>
        <v>0</v>
      </c>
      <c r="M150" s="150">
        <f t="shared" si="247"/>
        <v>0</v>
      </c>
      <c r="N150" s="150">
        <f t="shared" si="247"/>
        <v>0</v>
      </c>
      <c r="O150" s="150">
        <f t="shared" si="247"/>
        <v>0</v>
      </c>
      <c r="P150" s="151">
        <f t="shared" si="247"/>
        <v>0</v>
      </c>
    </row>
    <row r="151" spans="1:16" ht="15.75" customHeight="1">
      <c r="A151" s="152">
        <v>9</v>
      </c>
      <c r="B151" s="153" t="s">
        <v>244</v>
      </c>
      <c r="C151" s="154" t="s">
        <v>157</v>
      </c>
      <c r="D151" s="626">
        <f t="shared" ref="D151:P151" si="248">D85</f>
        <v>3171</v>
      </c>
      <c r="E151" s="155">
        <f t="shared" si="248"/>
        <v>3173</v>
      </c>
      <c r="F151" s="155">
        <f t="shared" si="248"/>
        <v>3308</v>
      </c>
      <c r="G151" s="155">
        <f t="shared" si="248"/>
        <v>0</v>
      </c>
      <c r="H151" s="155">
        <f t="shared" si="248"/>
        <v>0</v>
      </c>
      <c r="I151" s="155">
        <f t="shared" si="248"/>
        <v>0</v>
      </c>
      <c r="J151" s="155">
        <f t="shared" si="248"/>
        <v>0</v>
      </c>
      <c r="K151" s="155">
        <f t="shared" si="248"/>
        <v>0</v>
      </c>
      <c r="L151" s="155">
        <f t="shared" si="248"/>
        <v>0</v>
      </c>
      <c r="M151" s="155">
        <f t="shared" si="248"/>
        <v>0</v>
      </c>
      <c r="N151" s="155">
        <f t="shared" si="248"/>
        <v>0</v>
      </c>
      <c r="O151" s="155">
        <f t="shared" si="248"/>
        <v>0</v>
      </c>
      <c r="P151" s="156">
        <f t="shared" si="248"/>
        <v>0</v>
      </c>
    </row>
    <row r="152" spans="1:16" ht="15.75" customHeight="1">
      <c r="A152" s="142">
        <v>10</v>
      </c>
      <c r="B152" s="157" t="s">
        <v>251</v>
      </c>
      <c r="C152" s="158" t="s">
        <v>157</v>
      </c>
      <c r="D152" s="627">
        <f t="shared" ref="D152:P152" si="249">D93</f>
        <v>17516</v>
      </c>
      <c r="E152" s="144">
        <f t="shared" si="249"/>
        <v>17777</v>
      </c>
      <c r="F152" s="144">
        <f t="shared" si="249"/>
        <v>18029</v>
      </c>
      <c r="G152" s="144">
        <f t="shared" si="249"/>
        <v>0</v>
      </c>
      <c r="H152" s="144">
        <f t="shared" si="249"/>
        <v>0</v>
      </c>
      <c r="I152" s="144">
        <f t="shared" si="249"/>
        <v>0</v>
      </c>
      <c r="J152" s="144">
        <f t="shared" si="249"/>
        <v>0</v>
      </c>
      <c r="K152" s="144">
        <f t="shared" si="249"/>
        <v>0</v>
      </c>
      <c r="L152" s="144">
        <f t="shared" si="249"/>
        <v>0</v>
      </c>
      <c r="M152" s="144">
        <f t="shared" si="249"/>
        <v>0</v>
      </c>
      <c r="N152" s="144">
        <f t="shared" si="249"/>
        <v>0</v>
      </c>
      <c r="O152" s="144">
        <f t="shared" si="249"/>
        <v>0</v>
      </c>
      <c r="P152" s="145">
        <f t="shared" si="249"/>
        <v>0</v>
      </c>
    </row>
    <row r="153" spans="1:16" ht="15.75" customHeight="1">
      <c r="A153" s="142">
        <v>11</v>
      </c>
      <c r="B153" s="157" t="s">
        <v>240</v>
      </c>
      <c r="C153" s="158" t="s">
        <v>157</v>
      </c>
      <c r="D153" s="627">
        <f t="shared" ref="D153:P153" si="250">D77</f>
        <v>8724</v>
      </c>
      <c r="E153" s="144">
        <f t="shared" si="250"/>
        <v>9315</v>
      </c>
      <c r="F153" s="144">
        <f t="shared" si="250"/>
        <v>9872</v>
      </c>
      <c r="G153" s="144">
        <f t="shared" si="250"/>
        <v>0</v>
      </c>
      <c r="H153" s="144">
        <f t="shared" si="250"/>
        <v>0</v>
      </c>
      <c r="I153" s="144">
        <f t="shared" si="250"/>
        <v>0</v>
      </c>
      <c r="J153" s="144">
        <f t="shared" si="250"/>
        <v>0</v>
      </c>
      <c r="K153" s="144">
        <f t="shared" si="250"/>
        <v>0</v>
      </c>
      <c r="L153" s="144">
        <f t="shared" si="250"/>
        <v>0</v>
      </c>
      <c r="M153" s="144">
        <f t="shared" si="250"/>
        <v>0</v>
      </c>
      <c r="N153" s="144">
        <f t="shared" si="250"/>
        <v>0</v>
      </c>
      <c r="O153" s="144">
        <f t="shared" si="250"/>
        <v>0</v>
      </c>
      <c r="P153" s="145">
        <f t="shared" si="250"/>
        <v>0</v>
      </c>
    </row>
    <row r="154" spans="1:16" ht="15.75" customHeight="1">
      <c r="A154" s="142">
        <v>12</v>
      </c>
      <c r="B154" s="157" t="s">
        <v>235</v>
      </c>
      <c r="C154" s="158" t="s">
        <v>157</v>
      </c>
      <c r="D154" s="627">
        <f t="shared" ref="D154:P154" si="251">D69</f>
        <v>4822</v>
      </c>
      <c r="E154" s="144">
        <f t="shared" si="251"/>
        <v>4967</v>
      </c>
      <c r="F154" s="144">
        <f t="shared" si="251"/>
        <v>5102</v>
      </c>
      <c r="G154" s="144">
        <f t="shared" si="251"/>
        <v>0</v>
      </c>
      <c r="H154" s="144">
        <f t="shared" si="251"/>
        <v>0</v>
      </c>
      <c r="I154" s="144">
        <f t="shared" si="251"/>
        <v>0</v>
      </c>
      <c r="J154" s="144">
        <f t="shared" si="251"/>
        <v>0</v>
      </c>
      <c r="K154" s="144">
        <f t="shared" si="251"/>
        <v>0</v>
      </c>
      <c r="L154" s="144">
        <f t="shared" si="251"/>
        <v>0</v>
      </c>
      <c r="M154" s="144">
        <f t="shared" si="251"/>
        <v>0</v>
      </c>
      <c r="N154" s="144">
        <f t="shared" si="251"/>
        <v>0</v>
      </c>
      <c r="O154" s="144">
        <f t="shared" si="251"/>
        <v>0</v>
      </c>
      <c r="P154" s="145">
        <f t="shared" si="251"/>
        <v>0</v>
      </c>
    </row>
    <row r="155" spans="1:16" ht="15.75" customHeight="1">
      <c r="A155" s="142">
        <v>13</v>
      </c>
      <c r="B155" s="159" t="s">
        <v>230</v>
      </c>
      <c r="C155" s="160" t="s">
        <v>157</v>
      </c>
      <c r="D155" s="627">
        <f t="shared" ref="D155:P155" si="252">D65</f>
        <v>3154</v>
      </c>
      <c r="E155" s="144">
        <f t="shared" si="252"/>
        <v>3330</v>
      </c>
      <c r="F155" s="144">
        <f t="shared" si="252"/>
        <v>3448</v>
      </c>
      <c r="G155" s="144">
        <f t="shared" si="252"/>
        <v>0</v>
      </c>
      <c r="H155" s="144">
        <f t="shared" si="252"/>
        <v>0</v>
      </c>
      <c r="I155" s="144">
        <f t="shared" si="252"/>
        <v>0</v>
      </c>
      <c r="J155" s="144">
        <f t="shared" si="252"/>
        <v>0</v>
      </c>
      <c r="K155" s="144">
        <f t="shared" si="252"/>
        <v>0</v>
      </c>
      <c r="L155" s="144">
        <f t="shared" si="252"/>
        <v>0</v>
      </c>
      <c r="M155" s="144">
        <f t="shared" si="252"/>
        <v>0</v>
      </c>
      <c r="N155" s="144">
        <f t="shared" si="252"/>
        <v>0</v>
      </c>
      <c r="O155" s="144">
        <f t="shared" si="252"/>
        <v>0</v>
      </c>
      <c r="P155" s="145">
        <f t="shared" si="252"/>
        <v>0</v>
      </c>
    </row>
    <row r="156" spans="1:16" ht="15.75" customHeight="1">
      <c r="A156" s="142">
        <v>14</v>
      </c>
      <c r="B156" s="157" t="s">
        <v>227</v>
      </c>
      <c r="C156" s="158" t="s">
        <v>157</v>
      </c>
      <c r="D156" s="627">
        <f t="shared" ref="D156:P156" si="253">D61</f>
        <v>2730</v>
      </c>
      <c r="E156" s="144">
        <f t="shared" si="253"/>
        <v>2879</v>
      </c>
      <c r="F156" s="144">
        <f t="shared" si="253"/>
        <v>2980</v>
      </c>
      <c r="G156" s="144">
        <f t="shared" si="253"/>
        <v>0</v>
      </c>
      <c r="H156" s="144">
        <f t="shared" si="253"/>
        <v>0</v>
      </c>
      <c r="I156" s="144">
        <f t="shared" si="253"/>
        <v>0</v>
      </c>
      <c r="J156" s="144">
        <f t="shared" si="253"/>
        <v>0</v>
      </c>
      <c r="K156" s="144">
        <f t="shared" si="253"/>
        <v>0</v>
      </c>
      <c r="L156" s="144">
        <f t="shared" si="253"/>
        <v>0</v>
      </c>
      <c r="M156" s="144">
        <f t="shared" si="253"/>
        <v>0</v>
      </c>
      <c r="N156" s="144">
        <f t="shared" si="253"/>
        <v>0</v>
      </c>
      <c r="O156" s="144">
        <f t="shared" si="253"/>
        <v>0</v>
      </c>
      <c r="P156" s="145">
        <f t="shared" si="253"/>
        <v>0</v>
      </c>
    </row>
    <row r="157" spans="1:16" ht="15.75" customHeight="1">
      <c r="A157" s="142">
        <v>15</v>
      </c>
      <c r="B157" s="157" t="s">
        <v>218</v>
      </c>
      <c r="C157" s="158" t="s">
        <v>157</v>
      </c>
      <c r="D157" s="627">
        <f t="shared" ref="D157:P157" si="254">D53</f>
        <v>63585</v>
      </c>
      <c r="E157" s="144">
        <f t="shared" si="254"/>
        <v>66483</v>
      </c>
      <c r="F157" s="144">
        <f t="shared" si="254"/>
        <v>69170</v>
      </c>
      <c r="G157" s="144">
        <f t="shared" si="254"/>
        <v>0</v>
      </c>
      <c r="H157" s="144">
        <f t="shared" si="254"/>
        <v>0</v>
      </c>
      <c r="I157" s="144">
        <f t="shared" si="254"/>
        <v>0</v>
      </c>
      <c r="J157" s="144">
        <f t="shared" si="254"/>
        <v>0</v>
      </c>
      <c r="K157" s="144">
        <f t="shared" si="254"/>
        <v>0</v>
      </c>
      <c r="L157" s="144">
        <f t="shared" si="254"/>
        <v>0</v>
      </c>
      <c r="M157" s="144">
        <f t="shared" si="254"/>
        <v>0</v>
      </c>
      <c r="N157" s="144">
        <f t="shared" si="254"/>
        <v>0</v>
      </c>
      <c r="O157" s="144">
        <f t="shared" si="254"/>
        <v>0</v>
      </c>
      <c r="P157" s="145">
        <f t="shared" si="254"/>
        <v>0</v>
      </c>
    </row>
    <row r="158" spans="1:16" ht="15.75" customHeight="1">
      <c r="A158" s="142">
        <v>16</v>
      </c>
      <c r="B158" s="159" t="s">
        <v>222</v>
      </c>
      <c r="C158" s="160" t="s">
        <v>157</v>
      </c>
      <c r="D158" s="627">
        <f t="shared" ref="D158:P158" si="255">D57</f>
        <v>2743</v>
      </c>
      <c r="E158" s="144">
        <f t="shared" si="255"/>
        <v>2924</v>
      </c>
      <c r="F158" s="144">
        <f t="shared" si="255"/>
        <v>3117</v>
      </c>
      <c r="G158" s="144">
        <f t="shared" si="255"/>
        <v>0</v>
      </c>
      <c r="H158" s="144">
        <f t="shared" si="255"/>
        <v>0</v>
      </c>
      <c r="I158" s="144">
        <f t="shared" si="255"/>
        <v>0</v>
      </c>
      <c r="J158" s="144">
        <f t="shared" si="255"/>
        <v>0</v>
      </c>
      <c r="K158" s="144">
        <f t="shared" si="255"/>
        <v>0</v>
      </c>
      <c r="L158" s="144">
        <f t="shared" si="255"/>
        <v>0</v>
      </c>
      <c r="M158" s="144">
        <f t="shared" si="255"/>
        <v>0</v>
      </c>
      <c r="N158" s="144">
        <f t="shared" si="255"/>
        <v>0</v>
      </c>
      <c r="O158" s="144">
        <f t="shared" si="255"/>
        <v>0</v>
      </c>
      <c r="P158" s="145">
        <f t="shared" si="255"/>
        <v>0</v>
      </c>
    </row>
    <row r="159" spans="1:16" ht="15.75" customHeight="1">
      <c r="A159" s="142">
        <v>17</v>
      </c>
      <c r="B159" s="159" t="s">
        <v>203</v>
      </c>
      <c r="C159" s="160" t="s">
        <v>157</v>
      </c>
      <c r="D159" s="627">
        <f t="shared" ref="D159:P159" si="256">D41</f>
        <v>7371</v>
      </c>
      <c r="E159" s="144">
        <f t="shared" si="256"/>
        <v>7631</v>
      </c>
      <c r="F159" s="144">
        <f t="shared" si="256"/>
        <v>7931</v>
      </c>
      <c r="G159" s="144">
        <f t="shared" si="256"/>
        <v>0</v>
      </c>
      <c r="H159" s="144">
        <f t="shared" si="256"/>
        <v>0</v>
      </c>
      <c r="I159" s="144">
        <f t="shared" si="256"/>
        <v>0</v>
      </c>
      <c r="J159" s="144">
        <f t="shared" si="256"/>
        <v>0</v>
      </c>
      <c r="K159" s="144">
        <f t="shared" si="256"/>
        <v>0</v>
      </c>
      <c r="L159" s="144">
        <f t="shared" si="256"/>
        <v>0</v>
      </c>
      <c r="M159" s="144">
        <f t="shared" si="256"/>
        <v>0</v>
      </c>
      <c r="N159" s="144">
        <f t="shared" si="256"/>
        <v>0</v>
      </c>
      <c r="O159" s="144">
        <f t="shared" si="256"/>
        <v>0</v>
      </c>
      <c r="P159" s="145">
        <f t="shared" si="256"/>
        <v>0</v>
      </c>
    </row>
    <row r="160" spans="1:16" ht="15.75" customHeight="1">
      <c r="A160" s="142">
        <v>18</v>
      </c>
      <c r="B160" s="159" t="s">
        <v>215</v>
      </c>
      <c r="C160" s="160" t="s">
        <v>157</v>
      </c>
      <c r="D160" s="627">
        <f t="shared" ref="D160:P160" si="257">D49</f>
        <v>2716</v>
      </c>
      <c r="E160" s="144">
        <f t="shared" si="257"/>
        <v>2774</v>
      </c>
      <c r="F160" s="144">
        <f t="shared" si="257"/>
        <v>2878</v>
      </c>
      <c r="G160" s="144">
        <f t="shared" si="257"/>
        <v>0</v>
      </c>
      <c r="H160" s="144">
        <f t="shared" si="257"/>
        <v>0</v>
      </c>
      <c r="I160" s="144">
        <f t="shared" si="257"/>
        <v>0</v>
      </c>
      <c r="J160" s="144">
        <f t="shared" si="257"/>
        <v>0</v>
      </c>
      <c r="K160" s="144">
        <f t="shared" si="257"/>
        <v>0</v>
      </c>
      <c r="L160" s="144">
        <f t="shared" si="257"/>
        <v>0</v>
      </c>
      <c r="M160" s="144">
        <f t="shared" si="257"/>
        <v>0</v>
      </c>
      <c r="N160" s="144">
        <f t="shared" si="257"/>
        <v>0</v>
      </c>
      <c r="O160" s="144">
        <f t="shared" si="257"/>
        <v>0</v>
      </c>
      <c r="P160" s="145">
        <f t="shared" si="257"/>
        <v>0</v>
      </c>
    </row>
    <row r="161" spans="1:16" ht="15.75" customHeight="1">
      <c r="A161" s="142">
        <v>19</v>
      </c>
      <c r="B161" s="157" t="s">
        <v>210</v>
      </c>
      <c r="C161" s="158" t="s">
        <v>157</v>
      </c>
      <c r="D161" s="627">
        <f t="shared" ref="D161:P161" si="258">D45</f>
        <v>3303</v>
      </c>
      <c r="E161" s="144">
        <f t="shared" si="258"/>
        <v>3368</v>
      </c>
      <c r="F161" s="144">
        <f t="shared" si="258"/>
        <v>3424</v>
      </c>
      <c r="G161" s="144">
        <f t="shared" si="258"/>
        <v>0</v>
      </c>
      <c r="H161" s="144">
        <f t="shared" si="258"/>
        <v>0</v>
      </c>
      <c r="I161" s="144">
        <f t="shared" si="258"/>
        <v>0</v>
      </c>
      <c r="J161" s="144">
        <f t="shared" si="258"/>
        <v>0</v>
      </c>
      <c r="K161" s="144">
        <f t="shared" si="258"/>
        <v>0</v>
      </c>
      <c r="L161" s="144">
        <f t="shared" si="258"/>
        <v>0</v>
      </c>
      <c r="M161" s="144">
        <f t="shared" si="258"/>
        <v>0</v>
      </c>
      <c r="N161" s="144">
        <f t="shared" si="258"/>
        <v>0</v>
      </c>
      <c r="O161" s="144">
        <f t="shared" si="258"/>
        <v>0</v>
      </c>
      <c r="P161" s="145">
        <f t="shared" si="258"/>
        <v>0</v>
      </c>
    </row>
    <row r="162" spans="1:16" ht="15.75" customHeight="1">
      <c r="A162" s="142">
        <v>20</v>
      </c>
      <c r="B162" s="159" t="s">
        <v>238</v>
      </c>
      <c r="C162" s="160" t="s">
        <v>157</v>
      </c>
      <c r="D162" s="627">
        <f t="shared" ref="D162:P162" si="259">D73</f>
        <v>3608</v>
      </c>
      <c r="E162" s="144">
        <f t="shared" si="259"/>
        <v>3704</v>
      </c>
      <c r="F162" s="144">
        <f t="shared" si="259"/>
        <v>3821</v>
      </c>
      <c r="G162" s="144">
        <f t="shared" si="259"/>
        <v>0</v>
      </c>
      <c r="H162" s="144">
        <f t="shared" si="259"/>
        <v>0</v>
      </c>
      <c r="I162" s="144">
        <f t="shared" si="259"/>
        <v>0</v>
      </c>
      <c r="J162" s="144">
        <f t="shared" si="259"/>
        <v>0</v>
      </c>
      <c r="K162" s="144">
        <f t="shared" si="259"/>
        <v>0</v>
      </c>
      <c r="L162" s="144">
        <f t="shared" si="259"/>
        <v>0</v>
      </c>
      <c r="M162" s="144">
        <f t="shared" si="259"/>
        <v>0</v>
      </c>
      <c r="N162" s="144">
        <f t="shared" si="259"/>
        <v>0</v>
      </c>
      <c r="O162" s="144">
        <f t="shared" si="259"/>
        <v>0</v>
      </c>
      <c r="P162" s="145">
        <f t="shared" si="259"/>
        <v>0</v>
      </c>
    </row>
    <row r="163" spans="1:16" ht="15.75" customHeight="1">
      <c r="A163" s="142">
        <v>21</v>
      </c>
      <c r="B163" s="159" t="s">
        <v>243</v>
      </c>
      <c r="C163" s="160" t="s">
        <v>157</v>
      </c>
      <c r="D163" s="627">
        <f t="shared" ref="D163:P163" si="260">D81</f>
        <v>9021</v>
      </c>
      <c r="E163" s="144">
        <f t="shared" si="260"/>
        <v>9293</v>
      </c>
      <c r="F163" s="144">
        <f t="shared" si="260"/>
        <v>9600</v>
      </c>
      <c r="G163" s="144">
        <f t="shared" si="260"/>
        <v>0</v>
      </c>
      <c r="H163" s="144">
        <f t="shared" si="260"/>
        <v>0</v>
      </c>
      <c r="I163" s="144">
        <f t="shared" si="260"/>
        <v>0</v>
      </c>
      <c r="J163" s="144">
        <f t="shared" si="260"/>
        <v>0</v>
      </c>
      <c r="K163" s="144">
        <f t="shared" si="260"/>
        <v>0</v>
      </c>
      <c r="L163" s="144">
        <f t="shared" si="260"/>
        <v>0</v>
      </c>
      <c r="M163" s="144">
        <f t="shared" si="260"/>
        <v>0</v>
      </c>
      <c r="N163" s="144">
        <f t="shared" si="260"/>
        <v>0</v>
      </c>
      <c r="O163" s="144">
        <f t="shared" si="260"/>
        <v>0</v>
      </c>
      <c r="P163" s="145">
        <f t="shared" si="260"/>
        <v>0</v>
      </c>
    </row>
    <row r="164" spans="1:16" ht="15.75" customHeight="1">
      <c r="A164" s="142">
        <v>22</v>
      </c>
      <c r="B164" s="159" t="s">
        <v>249</v>
      </c>
      <c r="C164" s="160" t="s">
        <v>157</v>
      </c>
      <c r="D164" s="627">
        <f t="shared" ref="D164:P164" si="261">D89</f>
        <v>5770</v>
      </c>
      <c r="E164" s="144">
        <f t="shared" si="261"/>
        <v>5815</v>
      </c>
      <c r="F164" s="144">
        <f t="shared" si="261"/>
        <v>5881</v>
      </c>
      <c r="G164" s="144">
        <f t="shared" si="261"/>
        <v>0</v>
      </c>
      <c r="H164" s="144">
        <f t="shared" si="261"/>
        <v>0</v>
      </c>
      <c r="I164" s="144">
        <f t="shared" si="261"/>
        <v>0</v>
      </c>
      <c r="J164" s="144">
        <f t="shared" si="261"/>
        <v>0</v>
      </c>
      <c r="K164" s="144">
        <f t="shared" si="261"/>
        <v>0</v>
      </c>
      <c r="L164" s="144">
        <f t="shared" si="261"/>
        <v>0</v>
      </c>
      <c r="M164" s="144">
        <f t="shared" si="261"/>
        <v>0</v>
      </c>
      <c r="N164" s="144">
        <f t="shared" si="261"/>
        <v>0</v>
      </c>
      <c r="O164" s="144">
        <f t="shared" si="261"/>
        <v>0</v>
      </c>
      <c r="P164" s="145">
        <f t="shared" si="261"/>
        <v>0</v>
      </c>
    </row>
    <row r="165" spans="1:16" ht="15.75" customHeight="1">
      <c r="A165" s="147">
        <v>23</v>
      </c>
      <c r="B165" s="161" t="s">
        <v>256</v>
      </c>
      <c r="C165" s="162" t="s">
        <v>157</v>
      </c>
      <c r="D165" s="628">
        <f t="shared" ref="D165:P165" si="262">D97</f>
        <v>33317</v>
      </c>
      <c r="E165" s="150">
        <f t="shared" si="262"/>
        <v>35094</v>
      </c>
      <c r="F165" s="150">
        <f t="shared" si="262"/>
        <v>36991</v>
      </c>
      <c r="G165" s="150">
        <f t="shared" si="262"/>
        <v>0</v>
      </c>
      <c r="H165" s="150">
        <f t="shared" si="262"/>
        <v>0</v>
      </c>
      <c r="I165" s="150">
        <f t="shared" si="262"/>
        <v>0</v>
      </c>
      <c r="J165" s="150">
        <f t="shared" si="262"/>
        <v>0</v>
      </c>
      <c r="K165" s="150">
        <f t="shared" si="262"/>
        <v>0</v>
      </c>
      <c r="L165" s="150">
        <f t="shared" si="262"/>
        <v>0</v>
      </c>
      <c r="M165" s="150">
        <f t="shared" si="262"/>
        <v>0</v>
      </c>
      <c r="N165" s="150">
        <f t="shared" si="262"/>
        <v>0</v>
      </c>
      <c r="O165" s="150">
        <f t="shared" si="262"/>
        <v>0</v>
      </c>
      <c r="P165" s="151">
        <f t="shared" si="262"/>
        <v>0</v>
      </c>
    </row>
    <row r="166" spans="1:16" ht="15.75" customHeight="1"/>
    <row r="167" spans="1:16" ht="15.75" customHeight="1"/>
    <row r="168" spans="1:16" ht="15.75" customHeight="1"/>
    <row r="169" spans="1:16" ht="15.75" customHeight="1"/>
    <row r="170" spans="1:16" ht="15.75" customHeight="1"/>
    <row r="171" spans="1:16" ht="15.75" customHeight="1"/>
    <row r="172" spans="1:16" ht="15.75" customHeight="1"/>
    <row r="173" spans="1:16" ht="15.75" customHeight="1"/>
    <row r="174" spans="1:16" ht="15.75" customHeight="1"/>
    <row r="175" spans="1:16" ht="15.75" customHeight="1"/>
    <row r="176" spans="1:1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</sheetData>
  <mergeCells count="82">
    <mergeCell ref="D5:D7"/>
    <mergeCell ref="D9:D11"/>
    <mergeCell ref="D21:D23"/>
    <mergeCell ref="A12:A15"/>
    <mergeCell ref="A20:A23"/>
    <mergeCell ref="A16:A19"/>
    <mergeCell ref="A4:A7"/>
    <mergeCell ref="A8:A11"/>
    <mergeCell ref="A45:A48"/>
    <mergeCell ref="A28:A31"/>
    <mergeCell ref="D25:D27"/>
    <mergeCell ref="A32:A35"/>
    <mergeCell ref="D33:D35"/>
    <mergeCell ref="B37:D37"/>
    <mergeCell ref="D43:D44"/>
    <mergeCell ref="D47:D48"/>
    <mergeCell ref="B36:C36"/>
    <mergeCell ref="B1:J1"/>
    <mergeCell ref="D29:D31"/>
    <mergeCell ref="A85:A88"/>
    <mergeCell ref="A73:A76"/>
    <mergeCell ref="A77:A80"/>
    <mergeCell ref="A69:A72"/>
    <mergeCell ref="A65:A68"/>
    <mergeCell ref="A81:A84"/>
    <mergeCell ref="A61:A64"/>
    <mergeCell ref="A57:A60"/>
    <mergeCell ref="D17:D19"/>
    <mergeCell ref="D13:D15"/>
    <mergeCell ref="A41:A44"/>
    <mergeCell ref="B38:J38"/>
    <mergeCell ref="A53:A56"/>
    <mergeCell ref="A24:A27"/>
    <mergeCell ref="A89:A92"/>
    <mergeCell ref="A49:A52"/>
    <mergeCell ref="D51:D52"/>
    <mergeCell ref="D55:D56"/>
    <mergeCell ref="D59:D60"/>
    <mergeCell ref="D63:D64"/>
    <mergeCell ref="D67:D68"/>
    <mergeCell ref="D79:D80"/>
    <mergeCell ref="D87:D88"/>
    <mergeCell ref="D91:D92"/>
    <mergeCell ref="D71:D72"/>
    <mergeCell ref="D75:D76"/>
    <mergeCell ref="D83:D84"/>
    <mergeCell ref="B138:C138"/>
    <mergeCell ref="B140:O140"/>
    <mergeCell ref="D114:D121"/>
    <mergeCell ref="B139:C139"/>
    <mergeCell ref="B121:C121"/>
    <mergeCell ref="B117:C117"/>
    <mergeCell ref="B115:C115"/>
    <mergeCell ref="B114:C114"/>
    <mergeCell ref="B118:C118"/>
    <mergeCell ref="B122:C122"/>
    <mergeCell ref="B116:C116"/>
    <mergeCell ref="B125:C125"/>
    <mergeCell ref="D123:D125"/>
    <mergeCell ref="B135:C135"/>
    <mergeCell ref="B136:C136"/>
    <mergeCell ref="B137:C137"/>
    <mergeCell ref="B132:C132"/>
    <mergeCell ref="B133:C133"/>
    <mergeCell ref="B134:C134"/>
    <mergeCell ref="B101:C101"/>
    <mergeCell ref="D129:D131"/>
    <mergeCell ref="B131:C131"/>
    <mergeCell ref="B102:D102"/>
    <mergeCell ref="B113:C113"/>
    <mergeCell ref="B120:C120"/>
    <mergeCell ref="B119:C119"/>
    <mergeCell ref="D109:D111"/>
    <mergeCell ref="A104:A107"/>
    <mergeCell ref="D106:D107"/>
    <mergeCell ref="D126:D128"/>
    <mergeCell ref="B128:C128"/>
    <mergeCell ref="D95:D96"/>
    <mergeCell ref="A97:A100"/>
    <mergeCell ref="A93:A96"/>
    <mergeCell ref="D99:D100"/>
    <mergeCell ref="A108:A111"/>
  </mergeCells>
  <pageMargins left="0.31496062992125984" right="0.31496062992125984" top="0.23622047244094491" bottom="0.23622047244094491" header="0" footer="0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994"/>
  <sheetViews>
    <sheetView zoomScale="85" zoomScaleNormal="85" workbookViewId="0">
      <selection activeCell="B10" sqref="B10"/>
    </sheetView>
  </sheetViews>
  <sheetFormatPr defaultColWidth="11.19921875" defaultRowHeight="15" customHeight="1"/>
  <cols>
    <col min="1" max="3" width="6.8984375" style="630" customWidth="1"/>
    <col min="4" max="4" width="11.5" style="630" customWidth="1"/>
    <col min="5" max="5" width="9.69921875" style="630" customWidth="1"/>
    <col min="6" max="6" width="7.09765625" style="630" customWidth="1"/>
    <col min="7" max="7" width="9.69921875" style="630" customWidth="1"/>
    <col min="8" max="9" width="6.8984375" style="630" customWidth="1"/>
    <col min="10" max="10" width="11.5" style="630" customWidth="1"/>
    <col min="11" max="12" width="9.69921875" style="630" customWidth="1"/>
    <col min="13" max="15" width="9" customWidth="1"/>
    <col min="16" max="16" width="10.5" customWidth="1"/>
    <col min="17" max="19" width="9" customWidth="1"/>
    <col min="20" max="20" width="7.69921875" bestFit="1" customWidth="1"/>
    <col min="21" max="21" width="8.09765625" bestFit="1" customWidth="1"/>
    <col min="22" max="22" width="9" customWidth="1"/>
    <col min="23" max="32" width="7.8984375" customWidth="1"/>
    <col min="33" max="35" width="8.8984375" customWidth="1"/>
  </cols>
  <sheetData>
    <row r="1" spans="1:35" ht="9.75" customHeight="1">
      <c r="A1" s="1012"/>
      <c r="B1" s="895"/>
      <c r="C1" s="895"/>
      <c r="D1" s="895"/>
      <c r="E1" s="895"/>
      <c r="F1" s="895"/>
      <c r="G1" s="895"/>
      <c r="H1" s="895"/>
      <c r="I1" s="895"/>
      <c r="J1" s="895"/>
      <c r="K1" s="895"/>
      <c r="L1" s="2"/>
      <c r="M1" s="2"/>
      <c r="N1" s="1013">
        <v>1</v>
      </c>
      <c r="O1" s="1014"/>
      <c r="R1" s="69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2"/>
    </row>
    <row r="2" spans="1:35" s="652" customFormat="1" ht="19.5" customHeight="1">
      <c r="A2" s="1020" t="s">
        <v>0</v>
      </c>
      <c r="B2" s="895"/>
      <c r="C2" s="895"/>
      <c r="D2" s="895"/>
      <c r="E2" s="895"/>
      <c r="F2" s="653"/>
      <c r="G2" s="1020" t="s">
        <v>0</v>
      </c>
      <c r="H2" s="895"/>
      <c r="I2" s="895"/>
      <c r="J2" s="895"/>
      <c r="K2" s="895"/>
      <c r="M2" s="654" t="s">
        <v>340</v>
      </c>
      <c r="N2" s="1015"/>
      <c r="O2" s="1016"/>
      <c r="Q2" s="659" t="s">
        <v>927</v>
      </c>
      <c r="R2" s="659">
        <v>0</v>
      </c>
      <c r="S2" s="659">
        <v>1</v>
      </c>
      <c r="T2" s="659">
        <v>2</v>
      </c>
      <c r="U2" s="659">
        <v>3</v>
      </c>
      <c r="V2" s="659">
        <v>4</v>
      </c>
      <c r="W2" s="659">
        <v>5</v>
      </c>
      <c r="X2" s="659">
        <v>6</v>
      </c>
      <c r="Y2" s="659">
        <v>7</v>
      </c>
      <c r="Z2" s="659">
        <v>8</v>
      </c>
      <c r="AA2" s="659">
        <v>9</v>
      </c>
      <c r="AB2" s="659">
        <v>10</v>
      </c>
      <c r="AC2" s="659">
        <v>11</v>
      </c>
      <c r="AD2" s="659">
        <v>12</v>
      </c>
    </row>
    <row r="3" spans="1:35" ht="14.25" customHeight="1">
      <c r="A3" s="1019" t="s">
        <v>6</v>
      </c>
      <c r="B3" s="895"/>
      <c r="C3" s="895"/>
      <c r="D3" s="895"/>
      <c r="E3" s="895"/>
      <c r="F3" s="20"/>
      <c r="G3" s="1019" t="s">
        <v>6</v>
      </c>
      <c r="H3" s="895"/>
      <c r="I3" s="895"/>
      <c r="J3" s="895"/>
      <c r="K3" s="895"/>
      <c r="M3" s="2"/>
      <c r="N3" s="1015"/>
      <c r="O3" s="1016"/>
      <c r="P3" s="634" t="s">
        <v>928</v>
      </c>
      <c r="Q3" s="635" t="s">
        <v>36</v>
      </c>
      <c r="R3" s="636" t="str">
        <f ca="1">VLOOKUP($N$1,INDIRECT(DATA!$A$4),34,0)</f>
        <v>Nguyễn Phi Cường</v>
      </c>
      <c r="S3" s="635" t="s">
        <v>21</v>
      </c>
      <c r="T3" s="173" t="str">
        <f ca="1">VLOOKUP($N$1,INDIRECT(DATA!$A$4),33,0)</f>
        <v>A1</v>
      </c>
      <c r="U3" s="635" t="s">
        <v>105</v>
      </c>
      <c r="V3" s="173">
        <f ca="1">VLOOKUP($N$1,INDIRECT(DATA!$A$4),209,0)</f>
        <v>0</v>
      </c>
      <c r="W3" s="635" t="s">
        <v>104</v>
      </c>
      <c r="X3" s="173">
        <f ca="1">VLOOKUP($N$1,INDIRECT(DATA!$A$4),208,0)</f>
        <v>15000</v>
      </c>
      <c r="Y3" s="635" t="s">
        <v>108</v>
      </c>
      <c r="Z3" s="173">
        <f ca="1">VLOOKUP($N$1,INDIRECT(DATA!$A$4),207,0)</f>
        <v>0</v>
      </c>
      <c r="AA3" s="635" t="s">
        <v>920</v>
      </c>
      <c r="AB3" s="173">
        <f ca="1">VLOOKUP($N$1,INDIRECT(DATA!$A$4),210,0)</f>
        <v>0</v>
      </c>
      <c r="AC3" s="173"/>
      <c r="AD3" s="173"/>
    </row>
    <row r="4" spans="1:35" ht="14.25" customHeight="1">
      <c r="A4" s="1019" t="s">
        <v>9</v>
      </c>
      <c r="B4" s="895"/>
      <c r="C4" s="895"/>
      <c r="D4" s="895"/>
      <c r="E4" s="895"/>
      <c r="F4" s="20"/>
      <c r="G4" s="1019" t="s">
        <v>9</v>
      </c>
      <c r="H4" s="895"/>
      <c r="I4" s="895"/>
      <c r="J4" s="895"/>
      <c r="K4" s="895"/>
      <c r="M4" s="2"/>
      <c r="N4" s="1017"/>
      <c r="O4" s="1018"/>
      <c r="P4" s="656" t="s">
        <v>926</v>
      </c>
      <c r="Q4" s="676" t="s">
        <v>341</v>
      </c>
      <c r="R4" s="644" t="s">
        <v>89</v>
      </c>
      <c r="S4" s="644" t="s">
        <v>90</v>
      </c>
      <c r="T4" s="644" t="s">
        <v>91</v>
      </c>
      <c r="U4" s="644" t="s">
        <v>92</v>
      </c>
      <c r="V4" s="644" t="s">
        <v>93</v>
      </c>
      <c r="W4" s="644" t="s">
        <v>94</v>
      </c>
      <c r="X4" s="644" t="s">
        <v>95</v>
      </c>
      <c r="Y4" s="644" t="s">
        <v>96</v>
      </c>
      <c r="Z4" s="644" t="s">
        <v>97</v>
      </c>
      <c r="AA4" s="644" t="s">
        <v>98</v>
      </c>
      <c r="AB4" s="644" t="s">
        <v>99</v>
      </c>
      <c r="AC4" s="644" t="s">
        <v>100</v>
      </c>
      <c r="AD4" s="644" t="s">
        <v>101</v>
      </c>
    </row>
    <row r="5" spans="1:35" ht="14.25" customHeight="1">
      <c r="A5" s="1021" t="s">
        <v>34</v>
      </c>
      <c r="B5" s="895"/>
      <c r="C5" s="895"/>
      <c r="D5" s="895"/>
      <c r="E5" s="895"/>
      <c r="F5" s="9"/>
      <c r="G5" s="1021" t="s">
        <v>34</v>
      </c>
      <c r="H5" s="895"/>
      <c r="I5" s="895"/>
      <c r="J5" s="895"/>
      <c r="K5" s="895"/>
      <c r="M5" s="2"/>
      <c r="N5" s="642">
        <f>N1+1</f>
        <v>2</v>
      </c>
      <c r="O5" s="9"/>
      <c r="P5" s="657">
        <v>49</v>
      </c>
      <c r="Q5" s="644" t="s">
        <v>128</v>
      </c>
      <c r="R5" s="644">
        <f ca="1">IF(VLOOKUP($N$1,INDIRECT(DATA!$A$4),$P5+R$2,0)&gt;0,VLOOKUP($N$1,INDIRECT(DATA!$A$4),$P5+R$2,0),"")</f>
        <v>1790</v>
      </c>
      <c r="S5" s="644">
        <f ca="1">IF(VLOOKUP($N$1,INDIRECT(DATA!$A$4),$P5+S$2,0)&gt;0,VLOOKUP($N$1,INDIRECT(DATA!$A$4),$P5+S$2,0),"")</f>
        <v>1948</v>
      </c>
      <c r="T5" s="644">
        <f ca="1">IF(VLOOKUP($N$1,INDIRECT(DATA!$A$4),$P5+T$2,0)&gt;0,VLOOKUP($N$1,INDIRECT(DATA!$A$4),$P5+T$2,0),"")</f>
        <v>2009</v>
      </c>
      <c r="U5" s="644" t="str">
        <f ca="1">IF(VLOOKUP($N$1,INDIRECT(DATA!$A$4),$P5+U$2,0)&gt;0,VLOOKUP($N$1,INDIRECT(DATA!$A$4),$P5+U$2,0),"")</f>
        <v/>
      </c>
      <c r="V5" s="644" t="str">
        <f ca="1">IF(VLOOKUP($N$1,INDIRECT(DATA!$A$4),$P5+V$2,0)&gt;0,VLOOKUP($N$1,INDIRECT(DATA!$A$4),$P5+V$2,0),"")</f>
        <v/>
      </c>
      <c r="W5" s="644" t="str">
        <f ca="1">IF(VLOOKUP($N$1,INDIRECT(DATA!$A$4),$P5+W$2,0)&gt;0,VLOOKUP($N$1,INDIRECT(DATA!$A$4),$P5+W$2,0),"")</f>
        <v/>
      </c>
      <c r="X5" s="644" t="str">
        <f ca="1">IF(VLOOKUP($N$1,INDIRECT(DATA!$A$4),$P5+X$2,0)&gt;0,VLOOKUP($N$1,INDIRECT(DATA!$A$4),$P5+X$2,0),"")</f>
        <v/>
      </c>
      <c r="Y5" s="644" t="str">
        <f ca="1">IF(VLOOKUP($N$1,INDIRECT(DATA!$A$4),$P5+Y$2,0)&gt;0,VLOOKUP($N$1,INDIRECT(DATA!$A$4),$P5+Y$2,0),"")</f>
        <v/>
      </c>
      <c r="Z5" s="644" t="str">
        <f ca="1">IF(VLOOKUP($N$1,INDIRECT(DATA!$A$4),$P5+Z$2,0)&gt;0,VLOOKUP($N$1,INDIRECT(DATA!$A$4),$P5+Z$2,0),"")</f>
        <v/>
      </c>
      <c r="AA5" s="644" t="str">
        <f ca="1">IF(VLOOKUP($N$1,INDIRECT(DATA!$A$4),$P5+AA$2,0)&gt;0,VLOOKUP($N$1,INDIRECT(DATA!$A$4),$P5+AA$2,0),"")</f>
        <v/>
      </c>
      <c r="AB5" s="644" t="str">
        <f ca="1">IF(VLOOKUP($N$1,INDIRECT(DATA!$A$4),$P5+AB$2,0)&gt;0,VLOOKUP($N$1,INDIRECT(DATA!$A$4),$P5+AB$2,0),"")</f>
        <v/>
      </c>
      <c r="AC5" s="644" t="str">
        <f ca="1">IF(VLOOKUP($N$1,INDIRECT(DATA!$A$4),$P5+AC$2,0)&gt;0,VLOOKUP($N$1,INDIRECT(DATA!$A$4),$P5+AC$2,0),"")</f>
        <v/>
      </c>
      <c r="AD5" s="644" t="str">
        <f ca="1">IF(VLOOKUP($N$1,INDIRECT(DATA!$A$4),$P5+AD$2,0)&gt;0,VLOOKUP($N$1,INDIRECT(DATA!$A$4),$P5+AD$2,0),"")</f>
        <v/>
      </c>
    </row>
    <row r="6" spans="1:35" ht="12.75" customHeight="1">
      <c r="A6" s="2"/>
      <c r="B6" s="2"/>
      <c r="C6" s="2"/>
      <c r="D6" s="2"/>
      <c r="E6" s="166" t="str">
        <f>$P$3</f>
        <v>Năm 2020</v>
      </c>
      <c r="F6" s="2"/>
      <c r="G6" s="2"/>
      <c r="H6" s="2"/>
      <c r="I6" s="2"/>
      <c r="J6" s="2"/>
      <c r="K6" s="166" t="str">
        <f>$P$3</f>
        <v>Năm 2020</v>
      </c>
      <c r="L6" s="166"/>
      <c r="M6" s="2"/>
      <c r="N6" s="643">
        <f>N1+2</f>
        <v>3</v>
      </c>
      <c r="O6" s="639"/>
      <c r="P6" s="658">
        <v>63</v>
      </c>
      <c r="Q6" s="644" t="s">
        <v>139</v>
      </c>
      <c r="R6" s="644">
        <f ca="1">IF(VLOOKUP($N$1,INDIRECT(DATA!$A$4),$P6+R$2,0)&gt;0,VLOOKUP($N$1,INDIRECT(DATA!$A$4),$P6+R$2,0),"")</f>
        <v>11</v>
      </c>
      <c r="S6" s="644">
        <f ca="1">IF(VLOOKUP($N$1,INDIRECT(DATA!$A$4),$P6+S$2,0)&gt;0,VLOOKUP($N$1,INDIRECT(DATA!$A$4),$P6+S$2,0),"")</f>
        <v>21</v>
      </c>
      <c r="T6" s="644">
        <f ca="1">IF(VLOOKUP($N$1,INDIRECT(DATA!$A$4),$P6+T$2,0)&gt;0,VLOOKUP($N$1,INDIRECT(DATA!$A$4),$P6+T$2,0),"")</f>
        <v>34</v>
      </c>
      <c r="U6" s="644" t="str">
        <f ca="1">IF(VLOOKUP($N$1,INDIRECT(DATA!$A$4),$P6+U$2,0)&gt;0,VLOOKUP($N$1,INDIRECT(DATA!$A$4),$P6+U$2,0),"")</f>
        <v/>
      </c>
      <c r="V6" s="644" t="str">
        <f ca="1">IF(VLOOKUP($N$1,INDIRECT(DATA!$A$4),$P6+V$2,0)&gt;0,VLOOKUP($N$1,INDIRECT(DATA!$A$4),$P6+V$2,0),"")</f>
        <v/>
      </c>
      <c r="W6" s="644" t="str">
        <f ca="1">IF(VLOOKUP($N$1,INDIRECT(DATA!$A$4),$P6+W$2,0)&gt;0,VLOOKUP($N$1,INDIRECT(DATA!$A$4),$P6+W$2,0),"")</f>
        <v/>
      </c>
      <c r="X6" s="644" t="str">
        <f ca="1">IF(VLOOKUP($N$1,INDIRECT(DATA!$A$4),$P6+X$2,0)&gt;0,VLOOKUP($N$1,INDIRECT(DATA!$A$4),$P6+X$2,0),"")</f>
        <v/>
      </c>
      <c r="Y6" s="644" t="str">
        <f ca="1">IF(VLOOKUP($N$1,INDIRECT(DATA!$A$4),$P6+Y$2,0)&gt;0,VLOOKUP($N$1,INDIRECT(DATA!$A$4),$P6+Y$2,0),"")</f>
        <v/>
      </c>
      <c r="Z6" s="644" t="str">
        <f ca="1">IF(VLOOKUP($N$1,INDIRECT(DATA!$A$4),$P6+Z$2,0)&gt;0,VLOOKUP($N$1,INDIRECT(DATA!$A$4),$P6+Z$2,0),"")</f>
        <v/>
      </c>
      <c r="AA6" s="644" t="str">
        <f ca="1">IF(VLOOKUP($N$1,INDIRECT(DATA!$A$4),$P6+AA$2,0)&gt;0,VLOOKUP($N$1,INDIRECT(DATA!$A$4),$P6+AA$2,0),"")</f>
        <v/>
      </c>
      <c r="AB6" s="644" t="str">
        <f ca="1">IF(VLOOKUP($N$1,INDIRECT(DATA!$A$4),$P6+AB$2,0)&gt;0,VLOOKUP($N$1,INDIRECT(DATA!$A$4),$P6+AB$2,0),"")</f>
        <v/>
      </c>
      <c r="AC6" s="644" t="str">
        <f ca="1">IF(VLOOKUP($N$1,INDIRECT(DATA!$A$4),$P6+AC$2,0)&gt;0,VLOOKUP($N$1,INDIRECT(DATA!$A$4),$P6+AC$2,0),"")</f>
        <v/>
      </c>
      <c r="AD6" s="644" t="str">
        <f ca="1">IF(VLOOKUP($N$1,INDIRECT(DATA!$A$4),$P6+AD$2,0)&gt;0,VLOOKUP($N$1,INDIRECT(DATA!$A$4),$P6+AD$2,0),"")</f>
        <v/>
      </c>
    </row>
    <row r="7" spans="1:35" ht="16.5" customHeight="1">
      <c r="A7" s="1022" t="s">
        <v>346</v>
      </c>
      <c r="B7" s="895"/>
      <c r="C7" s="27" t="str">
        <f ca="1">R3</f>
        <v>Nguyễn Phi Cường</v>
      </c>
      <c r="D7" s="57"/>
      <c r="E7" s="167" t="str">
        <f ca="1">"Phòng: "&amp;T3</f>
        <v>Phòng: A1</v>
      </c>
      <c r="F7" s="58"/>
      <c r="G7" s="1022" t="s">
        <v>346</v>
      </c>
      <c r="H7" s="895"/>
      <c r="I7" s="27" t="str">
        <f ca="1">R9</f>
        <v>Cao Vũ Phong</v>
      </c>
      <c r="J7" s="57"/>
      <c r="K7" s="167" t="str">
        <f ca="1">"Phòng: "&amp;T9</f>
        <v>Phòng: A2</v>
      </c>
      <c r="L7" s="167"/>
      <c r="M7" s="2"/>
      <c r="N7" s="642">
        <f>N6+1</f>
        <v>4</v>
      </c>
      <c r="O7" s="641"/>
      <c r="P7" s="658">
        <v>35</v>
      </c>
      <c r="Q7" s="644" t="s">
        <v>925</v>
      </c>
      <c r="R7" s="677">
        <f ca="1">IF(VLOOKUP($N$1,INDIRECT(DATA!$A$4),$P7+R$2,0)&gt;0,VLOOKUP($N$1,INDIRECT(DATA!$A$4),$P7+R$2,0),".       .000")</f>
        <v>1868000</v>
      </c>
      <c r="S7" s="677">
        <f ca="1">IF(VLOOKUP($N$1,INDIRECT(DATA!$A$4),$P7+S$2,0)&gt;0,VLOOKUP($N$1,INDIRECT(DATA!$A$4),$P7+S$2,0),".       .000")</f>
        <v>1989000</v>
      </c>
      <c r="T7" s="677">
        <f ca="1">IF(VLOOKUP($N$1,INDIRECT(DATA!$A$4),$P7+T$2,0)&gt;0,VLOOKUP($N$1,INDIRECT(DATA!$A$4),$P7+T$2,0),".       .000")</f>
        <v>1858000</v>
      </c>
      <c r="U7" s="677" t="str">
        <f ca="1">IF(VLOOKUP($N$1,INDIRECT(DATA!$A$4),$P7+U$2,0)&gt;0,VLOOKUP($N$1,INDIRECT(DATA!$A$4),$P7+U$2,0),".       .000")</f>
        <v>.       .000</v>
      </c>
      <c r="V7" s="677" t="str">
        <f ca="1">IF(VLOOKUP($N$1,INDIRECT(DATA!$A$4),$P7+V$2,0)&gt;0,VLOOKUP($N$1,INDIRECT(DATA!$A$4),$P7+V$2,0),".       .000")</f>
        <v>.       .000</v>
      </c>
      <c r="W7" s="677" t="str">
        <f ca="1">IF(VLOOKUP($N$1,INDIRECT(DATA!$A$4),$P7+W$2,0)&gt;0,VLOOKUP($N$1,INDIRECT(DATA!$A$4),$P7+W$2,0),".       .000")</f>
        <v>.       .000</v>
      </c>
      <c r="X7" s="677" t="str">
        <f ca="1">IF(VLOOKUP($N$1,INDIRECT(DATA!$A$4),$P7+X$2,0)&gt;0,VLOOKUP($N$1,INDIRECT(DATA!$A$4),$P7+X$2,0),".       .000")</f>
        <v>.       .000</v>
      </c>
      <c r="Y7" s="677" t="str">
        <f ca="1">IF(VLOOKUP($N$1,INDIRECT(DATA!$A$4),$P7+Y$2,0)&gt;0,VLOOKUP($N$1,INDIRECT(DATA!$A$4),$P7+Y$2,0),".       .000")</f>
        <v>.       .000</v>
      </c>
      <c r="Z7" s="677" t="str">
        <f ca="1">IF(VLOOKUP($N$1,INDIRECT(DATA!$A$4),$P7+Z$2,0)&gt;0,VLOOKUP($N$1,INDIRECT(DATA!$A$4),$P7+Z$2,0),".       .000")</f>
        <v>.       .000</v>
      </c>
      <c r="AA7" s="677" t="str">
        <f ca="1">IF(VLOOKUP($N$1,INDIRECT(DATA!$A$4),$P7+AA$2,0)&gt;0,VLOOKUP($N$1,INDIRECT(DATA!$A$4),$P7+AA$2,0),".       .000")</f>
        <v>.       .000</v>
      </c>
      <c r="AB7" s="677" t="str">
        <f ca="1">IF(VLOOKUP($N$1,INDIRECT(DATA!$A$4),$P7+AB$2,0)&gt;0,VLOOKUP($N$1,INDIRECT(DATA!$A$4),$P7+AB$2,0),".       .000")</f>
        <v>.       .000</v>
      </c>
      <c r="AC7" s="677" t="str">
        <f ca="1">IF(VLOOKUP($N$1,INDIRECT(DATA!$A$4),$P7+AC$2,0)&gt;0,VLOOKUP($N$1,INDIRECT(DATA!$A$4),$P7+AC$2,0),".       .000")</f>
        <v>.       .000</v>
      </c>
      <c r="AD7" s="677" t="str">
        <f ca="1">IF(VLOOKUP($N$1,INDIRECT(DATA!$A$4),$P7+AD$2,0)&gt;0,VLOOKUP($N$1,INDIRECT(DATA!$A$4),$P7+AD$2,0),".       .000")</f>
        <v>.       .000</v>
      </c>
    </row>
    <row r="8" spans="1:35" ht="16.5" customHeight="1">
      <c r="A8" s="2" t="str">
        <f ca="1">"Cáp: "&amp;V3</f>
        <v>Cáp: 0</v>
      </c>
      <c r="B8" s="2"/>
      <c r="C8" s="165" t="str">
        <f ca="1">"Rác: "&amp;X3</f>
        <v>Rác: 15000</v>
      </c>
      <c r="D8" s="165" t="s">
        <v>66</v>
      </c>
      <c r="E8" s="101">
        <f ca="1">Z3*1000</f>
        <v>0</v>
      </c>
      <c r="F8" s="2"/>
      <c r="G8" s="2" t="str">
        <f ca="1">"Cáp: "&amp;V9</f>
        <v>Cáp: 20000</v>
      </c>
      <c r="H8" s="2"/>
      <c r="I8" s="165" t="str">
        <f ca="1">"Rác: "&amp;X9</f>
        <v>Rác: 15000</v>
      </c>
      <c r="J8" s="165" t="s">
        <v>66</v>
      </c>
      <c r="K8" s="101">
        <f ca="1">Z9*1000</f>
        <v>500000</v>
      </c>
      <c r="L8" s="101"/>
      <c r="M8" s="2"/>
      <c r="N8" s="640"/>
      <c r="O8" s="641"/>
      <c r="P8" s="2"/>
      <c r="Q8" s="678"/>
      <c r="R8" s="678"/>
      <c r="S8" s="678"/>
      <c r="T8" s="678"/>
      <c r="U8" s="678"/>
      <c r="V8" s="678"/>
      <c r="W8" s="678"/>
      <c r="X8" s="678"/>
      <c r="Y8" s="678"/>
      <c r="Z8" s="678"/>
      <c r="AA8" s="678"/>
      <c r="AB8" s="678"/>
      <c r="AC8" s="678"/>
      <c r="AD8" s="678"/>
    </row>
    <row r="9" spans="1:35" ht="17.25" customHeight="1">
      <c r="A9" s="668" t="s">
        <v>88</v>
      </c>
      <c r="B9" s="668" t="s">
        <v>128</v>
      </c>
      <c r="C9" s="668" t="s">
        <v>139</v>
      </c>
      <c r="D9" s="668" t="s">
        <v>347</v>
      </c>
      <c r="E9" s="668" t="s">
        <v>67</v>
      </c>
      <c r="F9" s="5"/>
      <c r="G9" s="668" t="s">
        <v>88</v>
      </c>
      <c r="H9" s="668" t="s">
        <v>128</v>
      </c>
      <c r="I9" s="668" t="s">
        <v>139</v>
      </c>
      <c r="J9" s="668" t="s">
        <v>347</v>
      </c>
      <c r="K9" s="668" t="s">
        <v>67</v>
      </c>
      <c r="L9" s="647"/>
      <c r="M9" s="2"/>
      <c r="N9" s="165"/>
      <c r="O9" s="633"/>
      <c r="P9" s="2"/>
      <c r="Q9" s="679" t="s">
        <v>36</v>
      </c>
      <c r="R9" s="636" t="str">
        <f ca="1">VLOOKUP($N$5,INDIRECT(DATA!$A$4),34,0)</f>
        <v>Cao Vũ Phong</v>
      </c>
      <c r="S9" s="679" t="s">
        <v>21</v>
      </c>
      <c r="T9" s="636" t="str">
        <f ca="1">VLOOKUP($N$5,INDIRECT(DATA!$A$4),33,0)</f>
        <v>A2</v>
      </c>
      <c r="U9" s="679" t="s">
        <v>105</v>
      </c>
      <c r="V9" s="636">
        <f ca="1">VLOOKUP($N$5,INDIRECT(DATA!$A$4),209,0)</f>
        <v>20000</v>
      </c>
      <c r="W9" s="679" t="s">
        <v>104</v>
      </c>
      <c r="X9" s="636">
        <f ca="1">VLOOKUP($N$5,INDIRECT(DATA!$A$4),208,0)</f>
        <v>15000</v>
      </c>
      <c r="Y9" s="679" t="s">
        <v>108</v>
      </c>
      <c r="Z9" s="636">
        <f ca="1">VLOOKUP($N$5,INDIRECT(DATA!$A$4),207,0)</f>
        <v>500</v>
      </c>
      <c r="AA9" s="679" t="s">
        <v>920</v>
      </c>
      <c r="AB9" s="636">
        <f ca="1">VLOOKUP($N$5,INDIRECT(DATA!$A$4),210,0)</f>
        <v>0</v>
      </c>
      <c r="AC9" s="675"/>
      <c r="AD9" s="675"/>
    </row>
    <row r="10" spans="1:35" ht="21" customHeight="1">
      <c r="A10" s="10" t="s">
        <v>348</v>
      </c>
      <c r="B10" s="10">
        <f t="array" aca="1" ref="B10:D22" ca="1">TRANSPOSE(R5:AD7)</f>
        <v>1790</v>
      </c>
      <c r="C10" s="10">
        <f ca="1"/>
        <v>11</v>
      </c>
      <c r="D10" s="637">
        <f ca="1"/>
        <v>1868000</v>
      </c>
      <c r="E10" s="669"/>
      <c r="F10" s="5"/>
      <c r="G10" s="10" t="s">
        <v>348</v>
      </c>
      <c r="H10" s="10">
        <f t="array" aca="1" ref="H10:J22" ca="1">TRANSPOSE(R11:AD13)</f>
        <v>7917</v>
      </c>
      <c r="I10" s="10">
        <f ca="1"/>
        <v>5</v>
      </c>
      <c r="J10" s="637">
        <f ca="1"/>
        <v>1636000</v>
      </c>
      <c r="K10" s="669"/>
      <c r="L10" s="648"/>
      <c r="M10" s="2"/>
      <c r="N10" s="165"/>
      <c r="O10" s="2"/>
      <c r="P10" s="631"/>
      <c r="Q10" s="676" t="s">
        <v>345</v>
      </c>
      <c r="R10" s="644" t="s">
        <v>89</v>
      </c>
      <c r="S10" s="644" t="s">
        <v>90</v>
      </c>
      <c r="T10" s="644" t="s">
        <v>91</v>
      </c>
      <c r="U10" s="644" t="s">
        <v>92</v>
      </c>
      <c r="V10" s="644" t="s">
        <v>93</v>
      </c>
      <c r="W10" s="644" t="s">
        <v>94</v>
      </c>
      <c r="X10" s="644" t="s">
        <v>95</v>
      </c>
      <c r="Y10" s="644" t="s">
        <v>96</v>
      </c>
      <c r="Z10" s="644" t="s">
        <v>97</v>
      </c>
      <c r="AA10" s="644" t="s">
        <v>98</v>
      </c>
      <c r="AB10" s="644" t="s">
        <v>99</v>
      </c>
      <c r="AC10" s="644" t="s">
        <v>100</v>
      </c>
      <c r="AD10" s="644" t="s">
        <v>101</v>
      </c>
    </row>
    <row r="11" spans="1:35" ht="21" customHeight="1">
      <c r="A11" s="10" t="s">
        <v>350</v>
      </c>
      <c r="B11" s="10">
        <f ca="1"/>
        <v>1948</v>
      </c>
      <c r="C11" s="10">
        <f ca="1"/>
        <v>21</v>
      </c>
      <c r="D11" s="638">
        <f ca="1"/>
        <v>1989000</v>
      </c>
      <c r="E11" s="10"/>
      <c r="F11" s="5"/>
      <c r="G11" s="10" t="s">
        <v>350</v>
      </c>
      <c r="H11" s="10">
        <f ca="1"/>
        <v>7992</v>
      </c>
      <c r="I11" s="10">
        <f ca="1"/>
        <v>13</v>
      </c>
      <c r="J11" s="638">
        <f ca="1"/>
        <v>1720000</v>
      </c>
      <c r="K11" s="10"/>
      <c r="L11" s="230"/>
      <c r="M11" s="2"/>
      <c r="N11" s="165"/>
      <c r="O11" s="2"/>
      <c r="P11" s="633"/>
      <c r="Q11" s="644" t="s">
        <v>128</v>
      </c>
      <c r="R11" s="644">
        <f ca="1">IF(VLOOKUP($N$5,INDIRECT(DATA!$A$4),$P5+R$2,0)&gt;0,VLOOKUP($N$5,INDIRECT(DATA!$A$4),$P5+R$2,0),"")</f>
        <v>7917</v>
      </c>
      <c r="S11" s="644">
        <f ca="1">IF(VLOOKUP($N$5,INDIRECT(DATA!$A$4),$P5+S$2,0)&gt;0,VLOOKUP($N$5,INDIRECT(DATA!$A$4),$P5+S$2,0),"")</f>
        <v>7992</v>
      </c>
      <c r="T11" s="644">
        <f ca="1">IF(VLOOKUP($N$5,INDIRECT(DATA!$A$4),$P5+T$2,0)&gt;0,VLOOKUP($N$5,INDIRECT(DATA!$A$4),$P5+T$2,0),"")</f>
        <v>8041</v>
      </c>
      <c r="U11" s="644" t="str">
        <f ca="1">IF(VLOOKUP($N$5,INDIRECT(DATA!$A$4),$P5+U$2,0)&gt;0,VLOOKUP($N$5,INDIRECT(DATA!$A$4),$P5+U$2,0),"")</f>
        <v/>
      </c>
      <c r="V11" s="644" t="str">
        <f ca="1">IF(VLOOKUP($N$5,INDIRECT(DATA!$A$4),$P5+V$2,0)&gt;0,VLOOKUP($N$5,INDIRECT(DATA!$A$4),$P5+V$2,0),"")</f>
        <v/>
      </c>
      <c r="W11" s="644" t="str">
        <f ca="1">IF(VLOOKUP($N$5,INDIRECT(DATA!$A$4),$P5+W$2,0)&gt;0,VLOOKUP($N$5,INDIRECT(DATA!$A$4),$P5+W$2,0),"")</f>
        <v/>
      </c>
      <c r="X11" s="644" t="str">
        <f ca="1">IF(VLOOKUP($N$5,INDIRECT(DATA!$A$4),$P5+X$2,0)&gt;0,VLOOKUP($N$5,INDIRECT(DATA!$A$4),$P5+X$2,0),"")</f>
        <v/>
      </c>
      <c r="Y11" s="644" t="str">
        <f ca="1">IF(VLOOKUP($N$5,INDIRECT(DATA!$A$4),$P5+Y$2,0)&gt;0,VLOOKUP($N$5,INDIRECT(DATA!$A$4),$P5+Y$2,0),"")</f>
        <v/>
      </c>
      <c r="Z11" s="644" t="str">
        <f ca="1">IF(VLOOKUP($N$5,INDIRECT(DATA!$A$4),$P5+Z$2,0)&gt;0,VLOOKUP($N$5,INDIRECT(DATA!$A$4),$P5+Z$2,0),"")</f>
        <v/>
      </c>
      <c r="AA11" s="644" t="str">
        <f ca="1">IF(VLOOKUP($N$5,INDIRECT(DATA!$A$4),$P5+AA$2,0)&gt;0,VLOOKUP($N$5,INDIRECT(DATA!$A$4),$P5+AA$2,0),"")</f>
        <v/>
      </c>
      <c r="AB11" s="644" t="str">
        <f ca="1">IF(VLOOKUP($N$5,INDIRECT(DATA!$A$4),$P5+AB$2,0)&gt;0,VLOOKUP($N$5,INDIRECT(DATA!$A$4),$P5+AB$2,0),"")</f>
        <v/>
      </c>
      <c r="AC11" s="644" t="str">
        <f ca="1">IF(VLOOKUP($N$5,INDIRECT(DATA!$A$4),$P5+AC$2,0)&gt;0,VLOOKUP($N$5,INDIRECT(DATA!$A$4),$P5+AC$2,0),"")</f>
        <v/>
      </c>
      <c r="AD11" s="644" t="str">
        <f ca="1">IF(VLOOKUP($N$5,INDIRECT(DATA!$A$4),$P5+AD$2,0)&gt;0,VLOOKUP($N$5,INDIRECT(DATA!$A$4),$P5+AD$2,0),"")</f>
        <v/>
      </c>
    </row>
    <row r="12" spans="1:35" ht="21" customHeight="1">
      <c r="A12" s="10" t="s">
        <v>351</v>
      </c>
      <c r="B12" s="10">
        <f ca="1"/>
        <v>2009</v>
      </c>
      <c r="C12" s="10">
        <f ca="1"/>
        <v>34</v>
      </c>
      <c r="D12" s="638">
        <f ca="1"/>
        <v>1858000</v>
      </c>
      <c r="E12" s="10"/>
      <c r="F12" s="5"/>
      <c r="G12" s="10" t="s">
        <v>351</v>
      </c>
      <c r="H12" s="10">
        <f ca="1"/>
        <v>8041</v>
      </c>
      <c r="I12" s="10">
        <f ca="1"/>
        <v>20</v>
      </c>
      <c r="J12" s="638">
        <f ca="1"/>
        <v>1722000</v>
      </c>
      <c r="K12" s="10"/>
      <c r="L12" s="230"/>
      <c r="M12" s="2"/>
      <c r="N12" s="165"/>
      <c r="O12" s="2"/>
      <c r="P12" s="2"/>
      <c r="Q12" s="644" t="s">
        <v>139</v>
      </c>
      <c r="R12" s="644">
        <f ca="1">IF(VLOOKUP($N$5,INDIRECT(DATA!$A$4),$P6+R$2,0)&gt;0,VLOOKUP($N$5,INDIRECT(DATA!$A$4),$P6+R$2,0),"")</f>
        <v>5</v>
      </c>
      <c r="S12" s="644">
        <f ca="1">IF(VLOOKUP($N$5,INDIRECT(DATA!$A$4),$P6+S$2,0)&gt;0,VLOOKUP($N$5,INDIRECT(DATA!$A$4),$P6+S$2,0),"")</f>
        <v>13</v>
      </c>
      <c r="T12" s="644">
        <f ca="1">IF(VLOOKUP($N$5,INDIRECT(DATA!$A$4),$P6+T$2,0)&gt;0,VLOOKUP($N$5,INDIRECT(DATA!$A$4),$P6+T$2,0),"")</f>
        <v>20</v>
      </c>
      <c r="U12" s="644" t="str">
        <f ca="1">IF(VLOOKUP($N$5,INDIRECT(DATA!$A$4),$P6+U$2,0)&gt;0,VLOOKUP($N$5,INDIRECT(DATA!$A$4),$P6+U$2,0),"")</f>
        <v/>
      </c>
      <c r="V12" s="644" t="str">
        <f ca="1">IF(VLOOKUP($N$5,INDIRECT(DATA!$A$4),$P6+V$2,0)&gt;0,VLOOKUP($N$5,INDIRECT(DATA!$A$4),$P6+V$2,0),"")</f>
        <v/>
      </c>
      <c r="W12" s="644" t="str">
        <f ca="1">IF(VLOOKUP($N$5,INDIRECT(DATA!$A$4),$P6+W$2,0)&gt;0,VLOOKUP($N$5,INDIRECT(DATA!$A$4),$P6+W$2,0),"")</f>
        <v/>
      </c>
      <c r="X12" s="644" t="str">
        <f ca="1">IF(VLOOKUP($N$5,INDIRECT(DATA!$A$4),$P6+X$2,0)&gt;0,VLOOKUP($N$5,INDIRECT(DATA!$A$4),$P6+X$2,0),"")</f>
        <v/>
      </c>
      <c r="Y12" s="644" t="str">
        <f ca="1">IF(VLOOKUP($N$5,INDIRECT(DATA!$A$4),$P6+Y$2,0)&gt;0,VLOOKUP($N$5,INDIRECT(DATA!$A$4),$P6+Y$2,0),"")</f>
        <v/>
      </c>
      <c r="Z12" s="644" t="str">
        <f ca="1">IF(VLOOKUP($N$5,INDIRECT(DATA!$A$4),$P6+Z$2,0)&gt;0,VLOOKUP($N$5,INDIRECT(DATA!$A$4),$P6+Z$2,0),"")</f>
        <v/>
      </c>
      <c r="AA12" s="644" t="str">
        <f ca="1">IF(VLOOKUP($N$5,INDIRECT(DATA!$A$4),$P6+AA$2,0)&gt;0,VLOOKUP($N$5,INDIRECT(DATA!$A$4),$P6+AA$2,0),"")</f>
        <v/>
      </c>
      <c r="AB12" s="644" t="str">
        <f ca="1">IF(VLOOKUP($N$5,INDIRECT(DATA!$A$4),$P6+AB$2,0)&gt;0,VLOOKUP($N$5,INDIRECT(DATA!$A$4),$P6+AB$2,0),"")</f>
        <v/>
      </c>
      <c r="AC12" s="644" t="str">
        <f ca="1">IF(VLOOKUP($N$5,INDIRECT(DATA!$A$4),$P6+AC$2,0)&gt;0,VLOOKUP($N$5,INDIRECT(DATA!$A$4),$P6+AC$2,0),"")</f>
        <v/>
      </c>
      <c r="AD12" s="644" t="str">
        <f ca="1">IF(VLOOKUP($N$5,INDIRECT(DATA!$A$4),$P6+AD$2,0)&gt;0,VLOOKUP($N$5,INDIRECT(DATA!$A$4),$P6+AD$2,0),"")</f>
        <v/>
      </c>
    </row>
    <row r="13" spans="1:35" ht="21" customHeight="1">
      <c r="A13" s="10" t="s">
        <v>355</v>
      </c>
      <c r="B13" s="10" t="str">
        <f ca="1"/>
        <v/>
      </c>
      <c r="C13" s="10" t="str">
        <f ca="1"/>
        <v/>
      </c>
      <c r="D13" s="638" t="str">
        <f ca="1"/>
        <v>.       .000</v>
      </c>
      <c r="E13" s="10"/>
      <c r="F13" s="5"/>
      <c r="G13" s="10" t="s">
        <v>355</v>
      </c>
      <c r="H13" s="10" t="str">
        <f ca="1"/>
        <v/>
      </c>
      <c r="I13" s="10" t="str">
        <f ca="1"/>
        <v/>
      </c>
      <c r="J13" s="638" t="str">
        <f ca="1"/>
        <v>.       .000</v>
      </c>
      <c r="K13" s="10"/>
      <c r="L13" s="230"/>
      <c r="M13" s="2"/>
      <c r="N13" s="165"/>
      <c r="O13" s="2"/>
      <c r="P13" s="2"/>
      <c r="Q13" s="644" t="s">
        <v>925</v>
      </c>
      <c r="R13" s="677">
        <f ca="1">IF(VLOOKUP($N$5,INDIRECT(DATA!$A$4),$P7+R$2,0)&gt;0,VLOOKUP($N$5,INDIRECT(DATA!$A$4),$P7+R$2,0),".       .000")</f>
        <v>1636000</v>
      </c>
      <c r="S13" s="677">
        <f ca="1">IF(VLOOKUP($N$5,INDIRECT(DATA!$A$4),$P7+S$2,0)&gt;0,VLOOKUP($N$5,INDIRECT(DATA!$A$4),$P7+S$2,0),".       .000")</f>
        <v>1720000</v>
      </c>
      <c r="T13" s="677">
        <f ca="1">IF(VLOOKUP($N$5,INDIRECT(DATA!$A$4),$P7+T$2,0)&gt;0,VLOOKUP($N$5,INDIRECT(DATA!$A$4),$P7+T$2,0),".       .000")</f>
        <v>1722000</v>
      </c>
      <c r="U13" s="677" t="str">
        <f ca="1">IF(VLOOKUP($N$5,INDIRECT(DATA!$A$4),$P7+U$2,0)&gt;0,VLOOKUP($N$5,INDIRECT(DATA!$A$4),$P7+U$2,0),".       .000")</f>
        <v>.       .000</v>
      </c>
      <c r="V13" s="677" t="str">
        <f ca="1">IF(VLOOKUP($N$5,INDIRECT(DATA!$A$4),$P7+V$2,0)&gt;0,VLOOKUP($N$5,INDIRECT(DATA!$A$4),$P7+V$2,0),".       .000")</f>
        <v>.       .000</v>
      </c>
      <c r="W13" s="677" t="str">
        <f ca="1">IF(VLOOKUP($N$5,INDIRECT(DATA!$A$4),$P7+W$2,0)&gt;0,VLOOKUP($N$5,INDIRECT(DATA!$A$4),$P7+W$2,0),".       .000")</f>
        <v>.       .000</v>
      </c>
      <c r="X13" s="677" t="str">
        <f ca="1">IF(VLOOKUP($N$5,INDIRECT(DATA!$A$4),$P7+X$2,0)&gt;0,VLOOKUP($N$5,INDIRECT(DATA!$A$4),$P7+X$2,0),".       .000")</f>
        <v>.       .000</v>
      </c>
      <c r="Y13" s="677" t="str">
        <f ca="1">IF(VLOOKUP($N$5,INDIRECT(DATA!$A$4),$P7+Y$2,0)&gt;0,VLOOKUP($N$5,INDIRECT(DATA!$A$4),$P7+Y$2,0),".       .000")</f>
        <v>.       .000</v>
      </c>
      <c r="Z13" s="677" t="str">
        <f ca="1">IF(VLOOKUP($N$5,INDIRECT(DATA!$A$4),$P7+Z$2,0)&gt;0,VLOOKUP($N$5,INDIRECT(DATA!$A$4),$P7+Z$2,0),".       .000")</f>
        <v>.       .000</v>
      </c>
      <c r="AA13" s="677" t="str">
        <f ca="1">IF(VLOOKUP($N$5,INDIRECT(DATA!$A$4),$P7+AA$2,0)&gt;0,VLOOKUP($N$5,INDIRECT(DATA!$A$4),$P7+AA$2,0),".       .000")</f>
        <v>.       .000</v>
      </c>
      <c r="AB13" s="677" t="str">
        <f ca="1">IF(VLOOKUP($N$5,INDIRECT(DATA!$A$4),$P7+AB$2,0)&gt;0,VLOOKUP($N$5,INDIRECT(DATA!$A$4),$P7+AB$2,0),".       .000")</f>
        <v>.       .000</v>
      </c>
      <c r="AC13" s="677" t="str">
        <f ca="1">IF(VLOOKUP($N$5,INDIRECT(DATA!$A$4),$P7+AC$2,0)&gt;0,VLOOKUP($N$5,INDIRECT(DATA!$A$4),$P7+AC$2,0),".       .000")</f>
        <v>.       .000</v>
      </c>
      <c r="AD13" s="677" t="str">
        <f ca="1">IF(VLOOKUP($N$5,INDIRECT(DATA!$A$4),$P7+AD$2,0)&gt;0,VLOOKUP($N$5,INDIRECT(DATA!$A$4),$P7+AD$2,0),".       .000")</f>
        <v>.       .000</v>
      </c>
    </row>
    <row r="14" spans="1:35" ht="21" customHeight="1">
      <c r="A14" s="10" t="s">
        <v>356</v>
      </c>
      <c r="B14" s="10" t="str">
        <f ca="1"/>
        <v/>
      </c>
      <c r="C14" s="10" t="str">
        <f ca="1"/>
        <v/>
      </c>
      <c r="D14" s="638" t="str">
        <f ca="1"/>
        <v>.       .000</v>
      </c>
      <c r="E14" s="10"/>
      <c r="F14" s="5"/>
      <c r="G14" s="10" t="s">
        <v>356</v>
      </c>
      <c r="H14" s="10" t="str">
        <f ca="1"/>
        <v/>
      </c>
      <c r="I14" s="10" t="str">
        <f ca="1"/>
        <v/>
      </c>
      <c r="J14" s="638" t="str">
        <f ca="1"/>
        <v>.       .000</v>
      </c>
      <c r="K14" s="10"/>
      <c r="L14" s="230"/>
      <c r="M14" s="2"/>
      <c r="N14" s="165"/>
      <c r="O14" s="2"/>
      <c r="P14" s="2"/>
      <c r="Q14" s="678"/>
      <c r="R14" s="678"/>
      <c r="S14" s="678"/>
      <c r="T14" s="678"/>
      <c r="U14" s="678"/>
      <c r="V14" s="678"/>
      <c r="W14" s="678"/>
      <c r="X14" s="678"/>
      <c r="Y14" s="678"/>
      <c r="Z14" s="678"/>
      <c r="AA14" s="678"/>
      <c r="AB14" s="678"/>
      <c r="AC14" s="678"/>
      <c r="AD14" s="678"/>
    </row>
    <row r="15" spans="1:35" ht="21" customHeight="1">
      <c r="A15" s="10" t="s">
        <v>358</v>
      </c>
      <c r="B15" s="10" t="str">
        <f ca="1"/>
        <v/>
      </c>
      <c r="C15" s="10" t="str">
        <f ca="1"/>
        <v/>
      </c>
      <c r="D15" s="638" t="str">
        <f ca="1"/>
        <v>.       .000</v>
      </c>
      <c r="E15" s="10"/>
      <c r="F15" s="5"/>
      <c r="G15" s="10" t="s">
        <v>358</v>
      </c>
      <c r="H15" s="10" t="str">
        <f ca="1"/>
        <v/>
      </c>
      <c r="I15" s="10" t="str">
        <f ca="1"/>
        <v/>
      </c>
      <c r="J15" s="638" t="str">
        <f ca="1"/>
        <v>.       .000</v>
      </c>
      <c r="K15" s="10"/>
      <c r="L15" s="230"/>
      <c r="M15" s="2"/>
      <c r="N15" s="165"/>
      <c r="O15" s="2"/>
      <c r="P15" s="2"/>
      <c r="Q15" s="679" t="s">
        <v>36</v>
      </c>
      <c r="R15" s="636" t="str">
        <f ca="1">VLOOKUP($N$6,INDIRECT(DATA!$A$4),34,0)</f>
        <v>Lương Văn Thân</v>
      </c>
      <c r="S15" s="679" t="s">
        <v>21</v>
      </c>
      <c r="T15" s="636" t="str">
        <f ca="1">VLOOKUP($N$6,INDIRECT(DATA!$A$4),33,0)</f>
        <v>A3</v>
      </c>
      <c r="U15" s="679" t="s">
        <v>105</v>
      </c>
      <c r="V15" s="636">
        <f ca="1">VLOOKUP($N$6,INDIRECT(DATA!$A$4),209,0)</f>
        <v>20000</v>
      </c>
      <c r="W15" s="679" t="s">
        <v>104</v>
      </c>
      <c r="X15" s="636">
        <f ca="1">VLOOKUP($N$6,INDIRECT(DATA!$A$4),208,0)</f>
        <v>15000</v>
      </c>
      <c r="Y15" s="679" t="s">
        <v>108</v>
      </c>
      <c r="Z15" s="636">
        <f ca="1">VLOOKUP($N$6,INDIRECT(DATA!$A$4),207,0)</f>
        <v>1000</v>
      </c>
      <c r="AA15" s="679" t="s">
        <v>920</v>
      </c>
      <c r="AB15" s="636">
        <f ca="1">VLOOKUP($N$6,INDIRECT(DATA!$A$4),210,0)</f>
        <v>0</v>
      </c>
      <c r="AC15" s="675"/>
      <c r="AD15" s="675"/>
    </row>
    <row r="16" spans="1:35" ht="21" customHeight="1">
      <c r="A16" s="10" t="s">
        <v>359</v>
      </c>
      <c r="B16" s="10" t="str">
        <f ca="1"/>
        <v/>
      </c>
      <c r="C16" s="10" t="str">
        <f ca="1"/>
        <v/>
      </c>
      <c r="D16" s="638" t="str">
        <f ca="1"/>
        <v>.       .000</v>
      </c>
      <c r="E16" s="10"/>
      <c r="F16" s="5"/>
      <c r="G16" s="10" t="s">
        <v>359</v>
      </c>
      <c r="H16" s="10" t="str">
        <f ca="1"/>
        <v/>
      </c>
      <c r="I16" s="10" t="str">
        <f ca="1"/>
        <v/>
      </c>
      <c r="J16" s="638" t="str">
        <f ca="1"/>
        <v>.       .000</v>
      </c>
      <c r="K16" s="10"/>
      <c r="L16" s="230"/>
      <c r="M16" s="2"/>
      <c r="N16" s="165"/>
      <c r="O16" s="2"/>
      <c r="P16" s="631"/>
      <c r="Q16" s="676" t="s">
        <v>349</v>
      </c>
      <c r="R16" s="644" t="s">
        <v>89</v>
      </c>
      <c r="S16" s="644" t="s">
        <v>90</v>
      </c>
      <c r="T16" s="644" t="s">
        <v>91</v>
      </c>
      <c r="U16" s="644" t="s">
        <v>92</v>
      </c>
      <c r="V16" s="644" t="s">
        <v>93</v>
      </c>
      <c r="W16" s="644" t="s">
        <v>94</v>
      </c>
      <c r="X16" s="644" t="s">
        <v>95</v>
      </c>
      <c r="Y16" s="644" t="s">
        <v>96</v>
      </c>
      <c r="Z16" s="644" t="s">
        <v>97</v>
      </c>
      <c r="AA16" s="644" t="s">
        <v>98</v>
      </c>
      <c r="AB16" s="644" t="s">
        <v>99</v>
      </c>
      <c r="AC16" s="644" t="s">
        <v>100</v>
      </c>
      <c r="AD16" s="644" t="s">
        <v>101</v>
      </c>
    </row>
    <row r="17" spans="1:35" ht="21" customHeight="1">
      <c r="A17" s="10" t="s">
        <v>360</v>
      </c>
      <c r="B17" s="10" t="str">
        <f ca="1"/>
        <v/>
      </c>
      <c r="C17" s="10" t="str">
        <f ca="1"/>
        <v/>
      </c>
      <c r="D17" s="638" t="str">
        <f ca="1"/>
        <v>.       .000</v>
      </c>
      <c r="E17" s="10"/>
      <c r="F17" s="5"/>
      <c r="G17" s="10" t="s">
        <v>360</v>
      </c>
      <c r="H17" s="10" t="str">
        <f ca="1"/>
        <v/>
      </c>
      <c r="I17" s="10" t="str">
        <f ca="1"/>
        <v/>
      </c>
      <c r="J17" s="638" t="str">
        <f ca="1"/>
        <v>.       .000</v>
      </c>
      <c r="K17" s="10"/>
      <c r="L17" s="230"/>
      <c r="M17" s="2"/>
      <c r="N17" s="165"/>
      <c r="O17" s="2"/>
      <c r="P17" s="633"/>
      <c r="Q17" s="644" t="s">
        <v>128</v>
      </c>
      <c r="R17" s="644">
        <f ca="1">IF(VLOOKUP($N$6,INDIRECT(DATA!$A$4),$P5+R$2,0)&gt;0,VLOOKUP($N$6,INDIRECT(DATA!$A$4),$P5+R$2,0),"")</f>
        <v>954</v>
      </c>
      <c r="S17" s="644">
        <f ca="1">IF(VLOOKUP($N$6,INDIRECT(DATA!$A$4),$P5+S$2,0)&gt;0,VLOOKUP($N$6,INDIRECT(DATA!$A$4),$P5+S$2,0),"")</f>
        <v>1009</v>
      </c>
      <c r="T17" s="644">
        <f ca="1">IF(VLOOKUP($N$6,INDIRECT(DATA!$A$4),$P5+T$2,0)&gt;0,VLOOKUP($N$6,INDIRECT(DATA!$A$4),$P5+T$2,0),"")</f>
        <v>1052</v>
      </c>
      <c r="U17" s="644" t="str">
        <f ca="1">IF(VLOOKUP($N$6,INDIRECT(DATA!$A$4),$P5+U$2,0)&gt;0,VLOOKUP($N$6,INDIRECT(DATA!$A$4),$P5+U$2,0),"")</f>
        <v/>
      </c>
      <c r="V17" s="644" t="str">
        <f ca="1">IF(VLOOKUP($N$6,INDIRECT(DATA!$A$4),$P5+V$2,0)&gt;0,VLOOKUP($N$6,INDIRECT(DATA!$A$4),$P5+V$2,0),"")</f>
        <v/>
      </c>
      <c r="W17" s="644" t="str">
        <f ca="1">IF(VLOOKUP($N$6,INDIRECT(DATA!$A$4),$P5+W$2,0)&gt;0,VLOOKUP($N$6,INDIRECT(DATA!$A$4),$P5+W$2,0),"")</f>
        <v/>
      </c>
      <c r="X17" s="644" t="str">
        <f ca="1">IF(VLOOKUP($N$6,INDIRECT(DATA!$A$4),$P5+X$2,0)&gt;0,VLOOKUP($N$6,INDIRECT(DATA!$A$4),$P5+X$2,0),"")</f>
        <v/>
      </c>
      <c r="Y17" s="644" t="str">
        <f ca="1">IF(VLOOKUP($N$6,INDIRECT(DATA!$A$4),$P5+Y$2,0)&gt;0,VLOOKUP($N$6,INDIRECT(DATA!$A$4),$P5+Y$2,0),"")</f>
        <v/>
      </c>
      <c r="Z17" s="644" t="str">
        <f ca="1">IF(VLOOKUP($N$6,INDIRECT(DATA!$A$4),$P5+Z$2,0)&gt;0,VLOOKUP($N$6,INDIRECT(DATA!$A$4),$P5+Z$2,0),"")</f>
        <v/>
      </c>
      <c r="AA17" s="644" t="str">
        <f ca="1">IF(VLOOKUP($N$6,INDIRECT(DATA!$A$4),$P5+AA$2,0)&gt;0,VLOOKUP($N$6,INDIRECT(DATA!$A$4),$P5+AA$2,0),"")</f>
        <v/>
      </c>
      <c r="AB17" s="644" t="str">
        <f ca="1">IF(VLOOKUP($N$6,INDIRECT(DATA!$A$4),$P5+AB$2,0)&gt;0,VLOOKUP($N$6,INDIRECT(DATA!$A$4),$P5+AB$2,0),"")</f>
        <v/>
      </c>
      <c r="AC17" s="644" t="str">
        <f ca="1">IF(VLOOKUP($N$6,INDIRECT(DATA!$A$4),$P5+AC$2,0)&gt;0,VLOOKUP($N$6,INDIRECT(DATA!$A$4),$P5+AC$2,0),"")</f>
        <v/>
      </c>
      <c r="AD17" s="644" t="str">
        <f ca="1">IF(VLOOKUP($N$6,INDIRECT(DATA!$A$4),$P5+AD$2,0)&gt;0,VLOOKUP($N$6,INDIRECT(DATA!$A$4),$P5+AD$2,0),"")</f>
        <v/>
      </c>
      <c r="AG17" s="5"/>
      <c r="AH17" s="5"/>
      <c r="AI17" s="2"/>
    </row>
    <row r="18" spans="1:35" ht="21" customHeight="1">
      <c r="A18" s="10" t="s">
        <v>361</v>
      </c>
      <c r="B18" s="10" t="str">
        <f ca="1"/>
        <v/>
      </c>
      <c r="C18" s="10" t="str">
        <f ca="1"/>
        <v/>
      </c>
      <c r="D18" s="638" t="str">
        <f ca="1"/>
        <v>.       .000</v>
      </c>
      <c r="E18" s="10"/>
      <c r="F18" s="5"/>
      <c r="G18" s="10" t="s">
        <v>361</v>
      </c>
      <c r="H18" s="10" t="str">
        <f ca="1"/>
        <v/>
      </c>
      <c r="I18" s="10" t="str">
        <f ca="1"/>
        <v/>
      </c>
      <c r="J18" s="638" t="str">
        <f ca="1"/>
        <v>.       .000</v>
      </c>
      <c r="K18" s="10"/>
      <c r="L18" s="230"/>
      <c r="M18" s="2"/>
      <c r="N18" s="165"/>
      <c r="O18" s="2"/>
      <c r="P18" s="2"/>
      <c r="Q18" s="644" t="s">
        <v>139</v>
      </c>
      <c r="R18" s="644">
        <f ca="1">IF(VLOOKUP($N$6,INDIRECT(DATA!$A$4),$P6+R$2,0)&gt;0,VLOOKUP($N$6,INDIRECT(DATA!$A$4),$P6+R$2,0),"")</f>
        <v>8</v>
      </c>
      <c r="S18" s="644">
        <f ca="1">IF(VLOOKUP($N$6,INDIRECT(DATA!$A$4),$P6+S$2,0)&gt;0,VLOOKUP($N$6,INDIRECT(DATA!$A$4),$P6+S$2,0),"")</f>
        <v>16</v>
      </c>
      <c r="T18" s="644">
        <f ca="1">IF(VLOOKUP($N$6,INDIRECT(DATA!$A$4),$P6+T$2,0)&gt;0,VLOOKUP($N$6,INDIRECT(DATA!$A$4),$P6+T$2,0),"")</f>
        <v>22</v>
      </c>
      <c r="U18" s="644" t="str">
        <f ca="1">IF(VLOOKUP($N$6,INDIRECT(DATA!$A$4),$P6+U$2,0)&gt;0,VLOOKUP($N$6,INDIRECT(DATA!$A$4),$P6+U$2,0),"")</f>
        <v/>
      </c>
      <c r="V18" s="644" t="str">
        <f ca="1">IF(VLOOKUP($N$6,INDIRECT(DATA!$A$4),$P6+V$2,0)&gt;0,VLOOKUP($N$6,INDIRECT(DATA!$A$4),$P6+V$2,0),"")</f>
        <v/>
      </c>
      <c r="W18" s="644" t="str">
        <f ca="1">IF(VLOOKUP($N$6,INDIRECT(DATA!$A$4),$P6+W$2,0)&gt;0,VLOOKUP($N$6,INDIRECT(DATA!$A$4),$P6+W$2,0),"")</f>
        <v/>
      </c>
      <c r="X18" s="644" t="str">
        <f ca="1">IF(VLOOKUP($N$6,INDIRECT(DATA!$A$4),$P6+X$2,0)&gt;0,VLOOKUP($N$6,INDIRECT(DATA!$A$4),$P6+X$2,0),"")</f>
        <v/>
      </c>
      <c r="Y18" s="644" t="str">
        <f ca="1">IF(VLOOKUP($N$6,INDIRECT(DATA!$A$4),$P6+Y$2,0)&gt;0,VLOOKUP($N$6,INDIRECT(DATA!$A$4),$P6+Y$2,0),"")</f>
        <v/>
      </c>
      <c r="Z18" s="644" t="str">
        <f ca="1">IF(VLOOKUP($N$6,INDIRECT(DATA!$A$4),$P6+Z$2,0)&gt;0,VLOOKUP($N$6,INDIRECT(DATA!$A$4),$P6+Z$2,0),"")</f>
        <v/>
      </c>
      <c r="AA18" s="644" t="str">
        <f ca="1">IF(VLOOKUP($N$6,INDIRECT(DATA!$A$4),$P6+AA$2,0)&gt;0,VLOOKUP($N$6,INDIRECT(DATA!$A$4),$P6+AA$2,0),"")</f>
        <v/>
      </c>
      <c r="AB18" s="644" t="str">
        <f ca="1">IF(VLOOKUP($N$6,INDIRECT(DATA!$A$4),$P6+AB$2,0)&gt;0,VLOOKUP($N$6,INDIRECT(DATA!$A$4),$P6+AB$2,0),"")</f>
        <v/>
      </c>
      <c r="AC18" s="644" t="str">
        <f ca="1">IF(VLOOKUP($N$6,INDIRECT(DATA!$A$4),$P6+AC$2,0)&gt;0,VLOOKUP($N$6,INDIRECT(DATA!$A$4),$P6+AC$2,0),"")</f>
        <v/>
      </c>
      <c r="AD18" s="644" t="str">
        <f ca="1">IF(VLOOKUP($N$6,INDIRECT(DATA!$A$4),$P6+AD$2,0)&gt;0,VLOOKUP($N$6,INDIRECT(DATA!$A$4),$P6+AD$2,0),"")</f>
        <v/>
      </c>
      <c r="AG18" s="5"/>
      <c r="AH18" s="5"/>
      <c r="AI18" s="5"/>
    </row>
    <row r="19" spans="1:35" ht="21" customHeight="1">
      <c r="A19" s="10" t="s">
        <v>362</v>
      </c>
      <c r="B19" s="10" t="str">
        <f ca="1"/>
        <v/>
      </c>
      <c r="C19" s="10" t="str">
        <f ca="1"/>
        <v/>
      </c>
      <c r="D19" s="638" t="str">
        <f ca="1"/>
        <v>.       .000</v>
      </c>
      <c r="E19" s="10"/>
      <c r="F19" s="5"/>
      <c r="G19" s="10" t="s">
        <v>362</v>
      </c>
      <c r="H19" s="10" t="str">
        <f ca="1"/>
        <v/>
      </c>
      <c r="I19" s="10" t="str">
        <f ca="1"/>
        <v/>
      </c>
      <c r="J19" s="638" t="str">
        <f ca="1"/>
        <v>.       .000</v>
      </c>
      <c r="K19" s="10"/>
      <c r="L19" s="230"/>
      <c r="M19" s="2"/>
      <c r="N19" s="165"/>
      <c r="O19" s="2"/>
      <c r="P19" s="2"/>
      <c r="Q19" s="644" t="s">
        <v>925</v>
      </c>
      <c r="R19" s="677">
        <f ca="1">IF(VLOOKUP($N$6,INDIRECT(DATA!$A$4),$P7+R$2,0)&gt;0,VLOOKUP($N$6,INDIRECT(DATA!$A$4),$P7+R$2,0),".       .000")</f>
        <v>1672000</v>
      </c>
      <c r="S19" s="677">
        <f ca="1">IF(VLOOKUP($N$6,INDIRECT(DATA!$A$4),$P7+S$2,0)&gt;0,VLOOKUP($N$6,INDIRECT(DATA!$A$4),$P7+S$2,0),".       .000")</f>
        <v>1660000</v>
      </c>
      <c r="T19" s="677">
        <f ca="1">IF(VLOOKUP($N$6,INDIRECT(DATA!$A$4),$P7+T$2,0)&gt;0,VLOOKUP($N$6,INDIRECT(DATA!$A$4),$P7+T$2,0),".       .000")</f>
        <v>1684000</v>
      </c>
      <c r="U19" s="677" t="str">
        <f ca="1">IF(VLOOKUP($N$6,INDIRECT(DATA!$A$4),$P7+U$2,0)&gt;0,VLOOKUP($N$6,INDIRECT(DATA!$A$4),$P7+U$2,0),".       .000")</f>
        <v>.       .000</v>
      </c>
      <c r="V19" s="677" t="str">
        <f ca="1">IF(VLOOKUP($N$6,INDIRECT(DATA!$A$4),$P7+V$2,0)&gt;0,VLOOKUP($N$6,INDIRECT(DATA!$A$4),$P7+V$2,0),".       .000")</f>
        <v>.       .000</v>
      </c>
      <c r="W19" s="677" t="str">
        <f ca="1">IF(VLOOKUP($N$6,INDIRECT(DATA!$A$4),$P7+W$2,0)&gt;0,VLOOKUP($N$6,INDIRECT(DATA!$A$4),$P7+W$2,0),".       .000")</f>
        <v>.       .000</v>
      </c>
      <c r="X19" s="677" t="str">
        <f ca="1">IF(VLOOKUP($N$6,INDIRECT(DATA!$A$4),$P7+X$2,0)&gt;0,VLOOKUP($N$6,INDIRECT(DATA!$A$4),$P7+X$2,0),".       .000")</f>
        <v>.       .000</v>
      </c>
      <c r="Y19" s="677" t="str">
        <f ca="1">IF(VLOOKUP($N$6,INDIRECT(DATA!$A$4),$P7+Y$2,0)&gt;0,VLOOKUP($N$6,INDIRECT(DATA!$A$4),$P7+Y$2,0),".       .000")</f>
        <v>.       .000</v>
      </c>
      <c r="Z19" s="677" t="str">
        <f ca="1">IF(VLOOKUP($N$6,INDIRECT(DATA!$A$4),$P7+Z$2,0)&gt;0,VLOOKUP($N$6,INDIRECT(DATA!$A$4),$P7+Z$2,0),".       .000")</f>
        <v>.       .000</v>
      </c>
      <c r="AA19" s="677" t="str">
        <f ca="1">IF(VLOOKUP($N$6,INDIRECT(DATA!$A$4),$P7+AA$2,0)&gt;0,VLOOKUP($N$6,INDIRECT(DATA!$A$4),$P7+AA$2,0),".       .000")</f>
        <v>.       .000</v>
      </c>
      <c r="AB19" s="677" t="str">
        <f ca="1">IF(VLOOKUP($N$6,INDIRECT(DATA!$A$4),$P7+AB$2,0)&gt;0,VLOOKUP($N$6,INDIRECT(DATA!$A$4),$P7+AB$2,0),".       .000")</f>
        <v>.       .000</v>
      </c>
      <c r="AC19" s="677" t="str">
        <f ca="1">IF(VLOOKUP($N$6,INDIRECT(DATA!$A$4),$P7+AC$2,0)&gt;0,VLOOKUP($N$6,INDIRECT(DATA!$A$4),$P7+AC$2,0),".       .000")</f>
        <v>.       .000</v>
      </c>
      <c r="AD19" s="677" t="str">
        <f ca="1">IF(VLOOKUP($N$6,INDIRECT(DATA!$A$4),$P7+AD$2,0)&gt;0,VLOOKUP($N$6,INDIRECT(DATA!$A$4),$P7+AD$2,0),".       .000")</f>
        <v>.       .000</v>
      </c>
      <c r="AG19" s="5"/>
      <c r="AH19" s="5"/>
      <c r="AI19" s="5"/>
    </row>
    <row r="20" spans="1:35" ht="21" customHeight="1">
      <c r="A20" s="10" t="s">
        <v>363</v>
      </c>
      <c r="B20" s="10" t="str">
        <f ca="1"/>
        <v/>
      </c>
      <c r="C20" s="10" t="str">
        <f ca="1"/>
        <v/>
      </c>
      <c r="D20" s="638" t="str">
        <f ca="1"/>
        <v>.       .000</v>
      </c>
      <c r="E20" s="10"/>
      <c r="F20" s="5"/>
      <c r="G20" s="10" t="s">
        <v>363</v>
      </c>
      <c r="H20" s="10" t="str">
        <f ca="1"/>
        <v/>
      </c>
      <c r="I20" s="10" t="str">
        <f ca="1"/>
        <v/>
      </c>
      <c r="J20" s="638" t="str">
        <f ca="1"/>
        <v>.       .000</v>
      </c>
      <c r="K20" s="10"/>
      <c r="L20" s="230"/>
      <c r="M20" s="2"/>
      <c r="N20" s="165"/>
      <c r="O20" s="2"/>
      <c r="P20" s="2"/>
      <c r="Q20" s="678"/>
      <c r="R20" s="678"/>
      <c r="S20" s="678"/>
      <c r="T20" s="678"/>
      <c r="U20" s="678"/>
      <c r="V20" s="678"/>
      <c r="W20" s="678"/>
      <c r="X20" s="678"/>
      <c r="Y20" s="678"/>
      <c r="Z20" s="678"/>
      <c r="AA20" s="678"/>
      <c r="AB20" s="678"/>
      <c r="AC20" s="678"/>
      <c r="AD20" s="678"/>
      <c r="AG20" s="5"/>
      <c r="AH20" s="5"/>
      <c r="AI20" s="5"/>
    </row>
    <row r="21" spans="1:35" ht="21" customHeight="1">
      <c r="A21" s="10" t="s">
        <v>364</v>
      </c>
      <c r="B21" s="10" t="str">
        <f ca="1"/>
        <v/>
      </c>
      <c r="C21" s="10" t="str">
        <f ca="1"/>
        <v/>
      </c>
      <c r="D21" s="638" t="str">
        <f ca="1"/>
        <v>.       .000</v>
      </c>
      <c r="E21" s="10"/>
      <c r="F21" s="5"/>
      <c r="G21" s="10" t="s">
        <v>364</v>
      </c>
      <c r="H21" s="10" t="str">
        <f ca="1"/>
        <v/>
      </c>
      <c r="I21" s="10" t="str">
        <f ca="1"/>
        <v/>
      </c>
      <c r="J21" s="638" t="str">
        <f ca="1"/>
        <v>.       .000</v>
      </c>
      <c r="K21" s="10"/>
      <c r="L21" s="230"/>
      <c r="M21" s="2"/>
      <c r="N21" s="165"/>
      <c r="O21" s="2"/>
      <c r="P21" s="2"/>
      <c r="Q21" s="679" t="s">
        <v>36</v>
      </c>
      <c r="R21" s="636" t="str">
        <f ca="1">VLOOKUP($N$7,INDIRECT(DATA!$A$4),34,0)</f>
        <v>Đỗ Thị Lệ</v>
      </c>
      <c r="S21" s="679" t="s">
        <v>21</v>
      </c>
      <c r="T21" s="636" t="str">
        <f ca="1">VLOOKUP($N$7,INDIRECT(DATA!$A$4),33,0)</f>
        <v>A4</v>
      </c>
      <c r="U21" s="679" t="s">
        <v>105</v>
      </c>
      <c r="V21" s="636">
        <f ca="1">VLOOKUP($N$7,INDIRECT(DATA!$A$4),209,0)</f>
        <v>0</v>
      </c>
      <c r="W21" s="679" t="s">
        <v>104</v>
      </c>
      <c r="X21" s="636">
        <f ca="1">VLOOKUP($N$7,INDIRECT(DATA!$A$4),208,0)</f>
        <v>15000</v>
      </c>
      <c r="Y21" s="679" t="s">
        <v>108</v>
      </c>
      <c r="Z21" s="636">
        <f ca="1">VLOOKUP($N$7,INDIRECT(DATA!$A$4),207,0)</f>
        <v>500</v>
      </c>
      <c r="AA21" s="679" t="s">
        <v>920</v>
      </c>
      <c r="AB21" s="636">
        <f ca="1">VLOOKUP($N$7,INDIRECT(DATA!$A$4),210,0)</f>
        <v>0</v>
      </c>
      <c r="AC21" s="675"/>
      <c r="AD21" s="675"/>
      <c r="AG21" s="5"/>
      <c r="AH21" s="5"/>
      <c r="AI21" s="5"/>
    </row>
    <row r="22" spans="1:35" ht="21" customHeight="1">
      <c r="A22" s="10" t="s">
        <v>365</v>
      </c>
      <c r="B22" s="10" t="str">
        <f ca="1"/>
        <v/>
      </c>
      <c r="C22" s="10" t="str">
        <f ca="1"/>
        <v/>
      </c>
      <c r="D22" s="638" t="str">
        <f ca="1"/>
        <v>.       .000</v>
      </c>
      <c r="E22" s="10"/>
      <c r="F22" s="5"/>
      <c r="G22" s="10" t="s">
        <v>365</v>
      </c>
      <c r="H22" s="10" t="str">
        <f ca="1"/>
        <v/>
      </c>
      <c r="I22" s="10" t="str">
        <f ca="1"/>
        <v/>
      </c>
      <c r="J22" s="638" t="str">
        <f ca="1"/>
        <v>.       .000</v>
      </c>
      <c r="K22" s="10"/>
      <c r="L22" s="230"/>
      <c r="M22" s="2"/>
      <c r="N22" s="2"/>
      <c r="O22" s="2"/>
      <c r="P22" s="631"/>
      <c r="Q22" s="676" t="s">
        <v>357</v>
      </c>
      <c r="R22" s="644" t="s">
        <v>89</v>
      </c>
      <c r="S22" s="644" t="s">
        <v>90</v>
      </c>
      <c r="T22" s="644" t="s">
        <v>91</v>
      </c>
      <c r="U22" s="644" t="s">
        <v>92</v>
      </c>
      <c r="V22" s="644" t="s">
        <v>93</v>
      </c>
      <c r="W22" s="644" t="s">
        <v>94</v>
      </c>
      <c r="X22" s="644" t="s">
        <v>95</v>
      </c>
      <c r="Y22" s="644" t="s">
        <v>96</v>
      </c>
      <c r="Z22" s="644" t="s">
        <v>97</v>
      </c>
      <c r="AA22" s="644" t="s">
        <v>98</v>
      </c>
      <c r="AB22" s="644" t="s">
        <v>99</v>
      </c>
      <c r="AC22" s="644" t="s">
        <v>100</v>
      </c>
      <c r="AD22" s="644" t="s">
        <v>101</v>
      </c>
      <c r="AG22" s="5"/>
      <c r="AH22" s="5"/>
      <c r="AI22" s="5"/>
    </row>
    <row r="23" spans="1:35" ht="36.7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2"/>
      <c r="M23" s="2"/>
      <c r="N23" s="2"/>
      <c r="O23" s="2"/>
      <c r="P23" s="633"/>
      <c r="Q23" s="644" t="s">
        <v>128</v>
      </c>
      <c r="R23" s="644">
        <f ca="1">IF(VLOOKUP($N$7,INDIRECT(DATA!$A$4),$P5+R$2,0)&gt;0,VLOOKUP($N$7,INDIRECT(DATA!$A$4),$P5+R$2,0),"")</f>
        <v>7695</v>
      </c>
      <c r="S23" s="644">
        <f ca="1">IF(VLOOKUP($N$7,INDIRECT(DATA!$A$4),$P5+S$2,0)&gt;0,VLOOKUP($N$7,INDIRECT(DATA!$A$4),$P5+S$2,0),"")</f>
        <v>7823</v>
      </c>
      <c r="T23" s="644">
        <f ca="1">IF(VLOOKUP($N$7,INDIRECT(DATA!$A$4),$P5+T$2,0)&gt;0,VLOOKUP($N$7,INDIRECT(DATA!$A$4),$P5+T$2,0),"")</f>
        <v>7918</v>
      </c>
      <c r="U23" s="644" t="str">
        <f ca="1">IF(VLOOKUP($N$7,INDIRECT(DATA!$A$4),$P5+U$2,0)&gt;0,VLOOKUP($N$7,INDIRECT(DATA!$A$4),$P5+U$2,0),"")</f>
        <v/>
      </c>
      <c r="V23" s="644" t="str">
        <f ca="1">IF(VLOOKUP($N$7,INDIRECT(DATA!$A$4),$P5+V$2,0)&gt;0,VLOOKUP($N$7,INDIRECT(DATA!$A$4),$P5+V$2,0),"")</f>
        <v/>
      </c>
      <c r="W23" s="644" t="str">
        <f ca="1">IF(VLOOKUP($N$7,INDIRECT(DATA!$A$4),$P5+W$2,0)&gt;0,VLOOKUP($N$7,INDIRECT(DATA!$A$4),$P5+W$2,0),"")</f>
        <v/>
      </c>
      <c r="X23" s="644" t="str">
        <f ca="1">IF(VLOOKUP($N$7,INDIRECT(DATA!$A$4),$P5+X$2,0)&gt;0,VLOOKUP($N$7,INDIRECT(DATA!$A$4),$P5+X$2,0),"")</f>
        <v/>
      </c>
      <c r="Y23" s="644" t="str">
        <f ca="1">IF(VLOOKUP($N$7,INDIRECT(DATA!$A$4),$P5+Y$2,0)&gt;0,VLOOKUP($N$7,INDIRECT(DATA!$A$4),$P5+Y$2,0),"")</f>
        <v/>
      </c>
      <c r="Z23" s="644" t="str">
        <f ca="1">IF(VLOOKUP($N$7,INDIRECT(DATA!$A$4),$P5+Z$2,0)&gt;0,VLOOKUP($N$7,INDIRECT(DATA!$A$4),$P5+Z$2,0),"")</f>
        <v/>
      </c>
      <c r="AA23" s="644" t="str">
        <f ca="1">IF(VLOOKUP($N$7,INDIRECT(DATA!$A$4),$P5+AA$2,0)&gt;0,VLOOKUP($N$7,INDIRECT(DATA!$A$4),$P5+AA$2,0),"")</f>
        <v/>
      </c>
      <c r="AB23" s="644" t="str">
        <f ca="1">IF(VLOOKUP($N$7,INDIRECT(DATA!$A$4),$P5+AB$2,0)&gt;0,VLOOKUP($N$7,INDIRECT(DATA!$A$4),$P5+AB$2,0),"")</f>
        <v/>
      </c>
      <c r="AC23" s="644" t="str">
        <f ca="1">IF(VLOOKUP($N$7,INDIRECT(DATA!$A$4),$P5+AC$2,0)&gt;0,VLOOKUP($N$7,INDIRECT(DATA!$A$4),$P5+AC$2,0),"")</f>
        <v/>
      </c>
      <c r="AD23" s="644" t="str">
        <f ca="1">IF(VLOOKUP($N$7,INDIRECT(DATA!$A$4),$P5+AD$2,0)&gt;0,VLOOKUP($N$7,INDIRECT(DATA!$A$4),$P5+AD$2,0),"")</f>
        <v/>
      </c>
      <c r="AG23" s="5"/>
      <c r="AH23" s="5"/>
      <c r="AI23" s="5"/>
    </row>
    <row r="24" spans="1:35" s="652" customFormat="1" ht="19.5" customHeight="1">
      <c r="A24" s="1027" t="s">
        <v>0</v>
      </c>
      <c r="B24" s="1024"/>
      <c r="C24" s="1024"/>
      <c r="D24" s="1024"/>
      <c r="E24" s="1024"/>
      <c r="F24" s="655"/>
      <c r="G24" s="1027" t="s">
        <v>0</v>
      </c>
      <c r="H24" s="1024"/>
      <c r="I24" s="1024"/>
      <c r="J24" s="1024"/>
      <c r="K24" s="1024"/>
      <c r="M24" s="653"/>
      <c r="N24" s="653"/>
      <c r="O24" s="653"/>
      <c r="P24" s="653"/>
      <c r="Q24" s="644" t="s">
        <v>139</v>
      </c>
      <c r="R24" s="644">
        <f ca="1">IF(VLOOKUP($N$7,INDIRECT(DATA!$A$4),$P6+R$2,0)&gt;0,VLOOKUP($N$7,INDIRECT(DATA!$A$4),$P6+R$2,0),"")</f>
        <v>8</v>
      </c>
      <c r="S24" s="644">
        <f ca="1">IF(VLOOKUP($N$7,INDIRECT(DATA!$A$4),$P6+S$2,0)&gt;0,VLOOKUP($N$7,INDIRECT(DATA!$A$4),$P6+S$2,0),"")</f>
        <v>15</v>
      </c>
      <c r="T24" s="644">
        <f ca="1">IF(VLOOKUP($N$7,INDIRECT(DATA!$A$4),$P6+T$2,0)&gt;0,VLOOKUP($N$7,INDIRECT(DATA!$A$4),$P6+T$2,0),"")</f>
        <v>22</v>
      </c>
      <c r="U24" s="644" t="str">
        <f ca="1">IF(VLOOKUP($N$7,INDIRECT(DATA!$A$4),$P6+U$2,0)&gt;0,VLOOKUP($N$7,INDIRECT(DATA!$A$4),$P6+U$2,0),"")</f>
        <v/>
      </c>
      <c r="V24" s="644" t="str">
        <f ca="1">IF(VLOOKUP($N$7,INDIRECT(DATA!$A$4),$P6+V$2,0)&gt;0,VLOOKUP($N$7,INDIRECT(DATA!$A$4),$P6+V$2,0),"")</f>
        <v/>
      </c>
      <c r="W24" s="644" t="str">
        <f ca="1">IF(VLOOKUP($N$7,INDIRECT(DATA!$A$4),$P6+W$2,0)&gt;0,VLOOKUP($N$7,INDIRECT(DATA!$A$4),$P6+W$2,0),"")</f>
        <v/>
      </c>
      <c r="X24" s="644" t="str">
        <f ca="1">IF(VLOOKUP($N$7,INDIRECT(DATA!$A$4),$P6+X$2,0)&gt;0,VLOOKUP($N$7,INDIRECT(DATA!$A$4),$P6+X$2,0),"")</f>
        <v/>
      </c>
      <c r="Y24" s="644" t="str">
        <f ca="1">IF(VLOOKUP($N$7,INDIRECT(DATA!$A$4),$P6+Y$2,0)&gt;0,VLOOKUP($N$7,INDIRECT(DATA!$A$4),$P6+Y$2,0),"")</f>
        <v/>
      </c>
      <c r="Z24" s="644" t="str">
        <f ca="1">IF(VLOOKUP($N$7,INDIRECT(DATA!$A$4),$P6+Z$2,0)&gt;0,VLOOKUP($N$7,INDIRECT(DATA!$A$4),$P6+Z$2,0),"")</f>
        <v/>
      </c>
      <c r="AA24" s="644" t="str">
        <f ca="1">IF(VLOOKUP($N$7,INDIRECT(DATA!$A$4),$P6+AA$2,0)&gt;0,VLOOKUP($N$7,INDIRECT(DATA!$A$4),$P6+AA$2,0),"")</f>
        <v/>
      </c>
      <c r="AB24" s="644" t="str">
        <f ca="1">IF(VLOOKUP($N$7,INDIRECT(DATA!$A$4),$P6+AB$2,0)&gt;0,VLOOKUP($N$7,INDIRECT(DATA!$A$4),$P6+AB$2,0),"")</f>
        <v/>
      </c>
      <c r="AC24" s="644" t="str">
        <f ca="1">IF(VLOOKUP($N$7,INDIRECT(DATA!$A$4),$P6+AC$2,0)&gt;0,VLOOKUP($N$7,INDIRECT(DATA!$A$4),$P6+AC$2,0),"")</f>
        <v/>
      </c>
      <c r="AD24" s="644" t="str">
        <f ca="1">IF(VLOOKUP($N$7,INDIRECT(DATA!$A$4),$P6+AD$2,0)&gt;0,VLOOKUP($N$7,INDIRECT(DATA!$A$4),$P6+AD$2,0),"")</f>
        <v/>
      </c>
      <c r="AG24" s="655"/>
      <c r="AH24" s="655"/>
      <c r="AI24" s="655"/>
    </row>
    <row r="25" spans="1:35" ht="14.25" customHeight="1">
      <c r="A25" s="1025" t="s">
        <v>6</v>
      </c>
      <c r="B25" s="1024"/>
      <c r="C25" s="1024"/>
      <c r="D25" s="1024"/>
      <c r="E25" s="1024"/>
      <c r="F25" s="670"/>
      <c r="G25" s="1025" t="s">
        <v>6</v>
      </c>
      <c r="H25" s="1024"/>
      <c r="I25" s="1024"/>
      <c r="J25" s="1024"/>
      <c r="K25" s="1024"/>
      <c r="M25" s="2"/>
      <c r="N25" s="2"/>
      <c r="O25" s="2"/>
      <c r="P25" s="2"/>
      <c r="Q25" s="644" t="s">
        <v>925</v>
      </c>
      <c r="R25" s="677">
        <f ca="1">IF(VLOOKUP($N$7,INDIRECT(DATA!$A$4),$P7+R$2,0)&gt;0,VLOOKUP($N$7,INDIRECT(DATA!$A$4),$P7+R$2,0),".       .000")</f>
        <v>1832000</v>
      </c>
      <c r="S25" s="677">
        <f ca="1">IF(VLOOKUP($N$7,INDIRECT(DATA!$A$4),$P7+S$2,0)&gt;0,VLOOKUP($N$7,INDIRECT(DATA!$A$4),$P7+S$2,0),".       .000")</f>
        <v>1839000</v>
      </c>
      <c r="T25" s="677">
        <f ca="1">IF(VLOOKUP($N$7,INDIRECT(DATA!$A$4),$P7+T$2,0)&gt;0,VLOOKUP($N$7,INDIRECT(DATA!$A$4),$P7+T$2,0),".       .000")</f>
        <v>1840000</v>
      </c>
      <c r="U25" s="677" t="str">
        <f ca="1">IF(VLOOKUP($N$7,INDIRECT(DATA!$A$4),$P7+U$2,0)&gt;0,VLOOKUP($N$7,INDIRECT(DATA!$A$4),$P7+U$2,0),".       .000")</f>
        <v>.       .000</v>
      </c>
      <c r="V25" s="677" t="str">
        <f ca="1">IF(VLOOKUP($N$7,INDIRECT(DATA!$A$4),$P7+V$2,0)&gt;0,VLOOKUP($N$7,INDIRECT(DATA!$A$4),$P7+V$2,0),".       .000")</f>
        <v>.       .000</v>
      </c>
      <c r="W25" s="677" t="str">
        <f ca="1">IF(VLOOKUP($N$7,INDIRECT(DATA!$A$4),$P7+W$2,0)&gt;0,VLOOKUP($N$7,INDIRECT(DATA!$A$4),$P7+W$2,0),".       .000")</f>
        <v>.       .000</v>
      </c>
      <c r="X25" s="677" t="str">
        <f ca="1">IF(VLOOKUP($N$7,INDIRECT(DATA!$A$4),$P7+X$2,0)&gt;0,VLOOKUP($N$7,INDIRECT(DATA!$A$4),$P7+X$2,0),".       .000")</f>
        <v>.       .000</v>
      </c>
      <c r="Y25" s="677" t="str">
        <f ca="1">IF(VLOOKUP($N$7,INDIRECT(DATA!$A$4),$P7+Y$2,0)&gt;0,VLOOKUP($N$7,INDIRECT(DATA!$A$4),$P7+Y$2,0),".       .000")</f>
        <v>.       .000</v>
      </c>
      <c r="Z25" s="677" t="str">
        <f ca="1">IF(VLOOKUP($N$7,INDIRECT(DATA!$A$4),$P7+Z$2,0)&gt;0,VLOOKUP($N$7,INDIRECT(DATA!$A$4),$P7+Z$2,0),".       .000")</f>
        <v>.       .000</v>
      </c>
      <c r="AA25" s="677" t="str">
        <f ca="1">IF(VLOOKUP($N$7,INDIRECT(DATA!$A$4),$P7+AA$2,0)&gt;0,VLOOKUP($N$7,INDIRECT(DATA!$A$4),$P7+AA$2,0),".       .000")</f>
        <v>.       .000</v>
      </c>
      <c r="AB25" s="677" t="str">
        <f ca="1">IF(VLOOKUP($N$7,INDIRECT(DATA!$A$4),$P7+AB$2,0)&gt;0,VLOOKUP($N$7,INDIRECT(DATA!$A$4),$P7+AB$2,0),".       .000")</f>
        <v>.       .000</v>
      </c>
      <c r="AC25" s="677" t="str">
        <f ca="1">IF(VLOOKUP($N$7,INDIRECT(DATA!$A$4),$P7+AC$2,0)&gt;0,VLOOKUP($N$7,INDIRECT(DATA!$A$4),$P7+AC$2,0),".       .000")</f>
        <v>.       .000</v>
      </c>
      <c r="AD25" s="677" t="str">
        <f ca="1">IF(VLOOKUP($N$7,INDIRECT(DATA!$A$4),$P7+AD$2,0)&gt;0,VLOOKUP($N$7,INDIRECT(DATA!$A$4),$P7+AD$2,0),".       .000")</f>
        <v>.       .000</v>
      </c>
      <c r="AG25" s="5"/>
      <c r="AH25" s="5"/>
      <c r="AI25" s="5"/>
    </row>
    <row r="26" spans="1:35" ht="14.25" customHeight="1">
      <c r="A26" s="1025" t="s">
        <v>9</v>
      </c>
      <c r="B26" s="1024"/>
      <c r="C26" s="1024"/>
      <c r="D26" s="1024"/>
      <c r="E26" s="1024"/>
      <c r="F26" s="670"/>
      <c r="G26" s="1025" t="s">
        <v>9</v>
      </c>
      <c r="H26" s="1024"/>
      <c r="I26" s="1024"/>
      <c r="J26" s="1024"/>
      <c r="K26" s="1024"/>
      <c r="M26" s="2"/>
      <c r="N26" s="2"/>
      <c r="O26" s="2"/>
      <c r="P26" s="2"/>
      <c r="AG26" s="5"/>
      <c r="AH26" s="5"/>
      <c r="AI26" s="5"/>
    </row>
    <row r="27" spans="1:35" ht="14.25" customHeight="1">
      <c r="A27" s="1023" t="s">
        <v>34</v>
      </c>
      <c r="B27" s="1024"/>
      <c r="C27" s="1024"/>
      <c r="D27" s="1024"/>
      <c r="E27" s="1024"/>
      <c r="F27" s="101"/>
      <c r="G27" s="1023" t="s">
        <v>34</v>
      </c>
      <c r="H27" s="1024"/>
      <c r="I27" s="1024"/>
      <c r="J27" s="1024"/>
      <c r="K27" s="1024"/>
      <c r="M27" s="2"/>
      <c r="N27" s="2"/>
      <c r="O27" s="2"/>
      <c r="P27" s="2"/>
      <c r="AF27" s="5"/>
      <c r="AG27" s="5"/>
      <c r="AH27" s="5"/>
      <c r="AI27" s="5"/>
    </row>
    <row r="28" spans="1:35" ht="12.75" customHeight="1">
      <c r="A28" s="5"/>
      <c r="B28" s="5"/>
      <c r="C28" s="5"/>
      <c r="D28" s="5"/>
      <c r="E28" s="671" t="str">
        <f>$P$3</f>
        <v>Năm 2020</v>
      </c>
      <c r="F28" s="5"/>
      <c r="G28" s="5"/>
      <c r="H28" s="5"/>
      <c r="I28" s="5"/>
      <c r="J28" s="5"/>
      <c r="K28" s="671" t="str">
        <f>$P$3</f>
        <v>Năm 2020</v>
      </c>
      <c r="L28" s="166"/>
      <c r="M28" s="2"/>
      <c r="N28" s="2"/>
      <c r="O28" s="2"/>
      <c r="P28" s="2"/>
      <c r="AF28" s="5"/>
      <c r="AG28" s="5"/>
      <c r="AH28" s="5"/>
      <c r="AI28" s="5"/>
    </row>
    <row r="29" spans="1:35" ht="16.5" customHeight="1">
      <c r="A29" s="1026" t="s">
        <v>346</v>
      </c>
      <c r="B29" s="1024"/>
      <c r="C29" s="27" t="str">
        <f ca="1">R15</f>
        <v>Lương Văn Thân</v>
      </c>
      <c r="D29" s="672"/>
      <c r="E29" s="673" t="str">
        <f ca="1">"Phòng: "&amp;T15</f>
        <v>Phòng: A3</v>
      </c>
      <c r="F29" s="674"/>
      <c r="G29" s="1026" t="s">
        <v>346</v>
      </c>
      <c r="H29" s="1024"/>
      <c r="I29" s="27" t="str">
        <f ca="1">R21</f>
        <v>Đỗ Thị Lệ</v>
      </c>
      <c r="J29" s="672"/>
      <c r="K29" s="673" t="str">
        <f ca="1">"Phòng: "&amp;T21</f>
        <v>Phòng: A4</v>
      </c>
      <c r="L29" s="167"/>
      <c r="M29" s="2"/>
      <c r="N29" s="2"/>
      <c r="O29" s="2"/>
      <c r="P29" s="2"/>
      <c r="AF29" s="5"/>
      <c r="AG29" s="5"/>
      <c r="AH29" s="5"/>
      <c r="AI29" s="5"/>
    </row>
    <row r="30" spans="1:35" ht="16.5" customHeight="1">
      <c r="A30" s="5" t="str">
        <f ca="1">"Cáp: "&amp;V15</f>
        <v>Cáp: 20000</v>
      </c>
      <c r="B30" s="5"/>
      <c r="C30" s="675" t="str">
        <f ca="1">"Rác: "&amp;X15</f>
        <v>Rác: 15000</v>
      </c>
      <c r="D30" s="675" t="s">
        <v>66</v>
      </c>
      <c r="E30" s="101">
        <f ca="1">Z15*1000</f>
        <v>1000000</v>
      </c>
      <c r="F30" s="5"/>
      <c r="G30" s="5" t="str">
        <f ca="1">"Cáp: "&amp;V21</f>
        <v>Cáp: 0</v>
      </c>
      <c r="H30" s="5"/>
      <c r="I30" s="675" t="str">
        <f ca="1">"Rác: "&amp;X21</f>
        <v>Rác: 15000</v>
      </c>
      <c r="J30" s="675" t="s">
        <v>66</v>
      </c>
      <c r="K30" s="101">
        <f ca="1">Z21*1000</f>
        <v>500000</v>
      </c>
      <c r="L30" s="101"/>
      <c r="M30" s="2"/>
      <c r="N30" s="2"/>
      <c r="O30" s="2"/>
      <c r="P30" s="2"/>
      <c r="AF30" s="5"/>
      <c r="AG30" s="5"/>
      <c r="AH30" s="5"/>
      <c r="AI30" s="5"/>
    </row>
    <row r="31" spans="1:35" ht="17.25" customHeight="1">
      <c r="A31" s="668" t="s">
        <v>88</v>
      </c>
      <c r="B31" s="668" t="s">
        <v>128</v>
      </c>
      <c r="C31" s="668" t="s">
        <v>139</v>
      </c>
      <c r="D31" s="668" t="s">
        <v>347</v>
      </c>
      <c r="E31" s="668" t="s">
        <v>67</v>
      </c>
      <c r="F31" s="5"/>
      <c r="G31" s="668" t="s">
        <v>88</v>
      </c>
      <c r="H31" s="668" t="s">
        <v>128</v>
      </c>
      <c r="I31" s="668" t="s">
        <v>139</v>
      </c>
      <c r="J31" s="668" t="s">
        <v>347</v>
      </c>
      <c r="K31" s="668" t="s">
        <v>67</v>
      </c>
      <c r="L31" s="647"/>
      <c r="M31" s="2"/>
      <c r="N31" s="2"/>
      <c r="O31" s="2"/>
      <c r="P31" s="2"/>
      <c r="AF31" s="5"/>
      <c r="AG31" s="5"/>
      <c r="AH31" s="5"/>
      <c r="AI31" s="5"/>
    </row>
    <row r="32" spans="1:35" ht="21" customHeight="1">
      <c r="A32" s="175" t="s">
        <v>348</v>
      </c>
      <c r="B32" s="175">
        <f t="array" aca="1" ref="B32:D44" ca="1">TRANSPOSE(R17:AD19)</f>
        <v>954</v>
      </c>
      <c r="C32" s="644">
        <f ca="1"/>
        <v>8</v>
      </c>
      <c r="D32" s="644">
        <f ca="1"/>
        <v>1672000</v>
      </c>
      <c r="E32" s="607"/>
      <c r="F32" s="5"/>
      <c r="G32" s="175" t="s">
        <v>348</v>
      </c>
      <c r="H32" s="175">
        <f t="array" aca="1" ref="H32:J44" ca="1">TRANSPOSE(R23:AD25)</f>
        <v>7695</v>
      </c>
      <c r="I32" s="644">
        <f ca="1"/>
        <v>8</v>
      </c>
      <c r="J32" s="644">
        <f ca="1"/>
        <v>1832000</v>
      </c>
      <c r="K32" s="607"/>
      <c r="L32" s="648"/>
      <c r="M32" s="2"/>
      <c r="N32" s="2"/>
      <c r="O32" s="2"/>
      <c r="P32" s="2"/>
      <c r="AF32" s="5"/>
      <c r="AG32" s="5"/>
      <c r="AH32" s="5"/>
      <c r="AI32" s="5"/>
    </row>
    <row r="33" spans="1:36" ht="21" customHeight="1">
      <c r="A33" s="175" t="s">
        <v>350</v>
      </c>
      <c r="B33" s="175">
        <f ca="1"/>
        <v>1009</v>
      </c>
      <c r="C33" s="175">
        <f ca="1"/>
        <v>16</v>
      </c>
      <c r="D33" s="638">
        <f ca="1"/>
        <v>1660000</v>
      </c>
      <c r="E33" s="175"/>
      <c r="F33" s="5"/>
      <c r="G33" s="175" t="s">
        <v>350</v>
      </c>
      <c r="H33" s="175">
        <f ca="1"/>
        <v>7823</v>
      </c>
      <c r="I33" s="175">
        <f ca="1"/>
        <v>15</v>
      </c>
      <c r="J33" s="638">
        <f ca="1"/>
        <v>1839000</v>
      </c>
      <c r="K33" s="645"/>
      <c r="L33" s="230"/>
      <c r="M33" s="2"/>
      <c r="N33" s="2"/>
      <c r="O33" s="2"/>
      <c r="P33" s="2"/>
      <c r="AF33" s="5"/>
      <c r="AG33" s="5"/>
      <c r="AH33" s="5"/>
      <c r="AI33" s="5"/>
    </row>
    <row r="34" spans="1:36" ht="21" customHeight="1">
      <c r="A34" s="175" t="s">
        <v>351</v>
      </c>
      <c r="B34" s="175">
        <f ca="1"/>
        <v>1052</v>
      </c>
      <c r="C34" s="175">
        <f ca="1"/>
        <v>22</v>
      </c>
      <c r="D34" s="638">
        <f ca="1"/>
        <v>1684000</v>
      </c>
      <c r="E34" s="646"/>
      <c r="F34" s="5"/>
      <c r="G34" s="175" t="s">
        <v>351</v>
      </c>
      <c r="H34" s="175">
        <f ca="1"/>
        <v>7918</v>
      </c>
      <c r="I34" s="175">
        <f ca="1"/>
        <v>22</v>
      </c>
      <c r="J34" s="638">
        <f ca="1"/>
        <v>1840000</v>
      </c>
      <c r="K34" s="646"/>
      <c r="L34" s="230"/>
      <c r="M34" s="2"/>
      <c r="N34" s="2"/>
      <c r="O34" s="2"/>
      <c r="P34" s="2"/>
      <c r="Q34" s="2"/>
      <c r="AF34" s="5"/>
      <c r="AG34" s="5"/>
      <c r="AH34" s="5"/>
      <c r="AI34" s="5"/>
    </row>
    <row r="35" spans="1:36" ht="21" customHeight="1">
      <c r="A35" s="175" t="s">
        <v>355</v>
      </c>
      <c r="B35" s="175" t="str">
        <f ca="1"/>
        <v/>
      </c>
      <c r="C35" s="175" t="str">
        <f ca="1"/>
        <v/>
      </c>
      <c r="D35" s="638" t="str">
        <f ca="1"/>
        <v>.       .000</v>
      </c>
      <c r="E35" s="175"/>
      <c r="F35" s="5"/>
      <c r="G35" s="175" t="s">
        <v>355</v>
      </c>
      <c r="H35" s="175" t="str">
        <f ca="1"/>
        <v/>
      </c>
      <c r="I35" s="175" t="str">
        <f ca="1"/>
        <v/>
      </c>
      <c r="J35" s="638" t="str">
        <f ca="1"/>
        <v>.       .000</v>
      </c>
      <c r="K35" s="175"/>
      <c r="L35" s="230"/>
      <c r="M35" s="2"/>
      <c r="N35" s="2"/>
      <c r="O35" s="2"/>
      <c r="P35" s="2"/>
      <c r="Q35" s="2"/>
      <c r="AF35" s="5"/>
      <c r="AG35" s="5"/>
      <c r="AH35" s="5"/>
      <c r="AI35" s="5"/>
    </row>
    <row r="36" spans="1:36" ht="21" customHeight="1">
      <c r="A36" s="175" t="s">
        <v>356</v>
      </c>
      <c r="B36" s="175" t="str">
        <f ca="1"/>
        <v/>
      </c>
      <c r="C36" s="175" t="str">
        <f ca="1"/>
        <v/>
      </c>
      <c r="D36" s="638" t="str">
        <f ca="1"/>
        <v>.       .000</v>
      </c>
      <c r="E36" s="175"/>
      <c r="F36" s="5"/>
      <c r="G36" s="175" t="s">
        <v>356</v>
      </c>
      <c r="H36" s="175" t="str">
        <f ca="1"/>
        <v/>
      </c>
      <c r="I36" s="175" t="str">
        <f ca="1"/>
        <v/>
      </c>
      <c r="J36" s="638" t="str">
        <f ca="1"/>
        <v>.       .000</v>
      </c>
      <c r="K36" s="175"/>
      <c r="L36" s="230"/>
      <c r="M36" s="2"/>
      <c r="N36" s="2"/>
      <c r="O36" s="2"/>
      <c r="P36" s="2"/>
      <c r="Q36" s="2"/>
      <c r="AF36" s="5"/>
      <c r="AG36" s="5"/>
      <c r="AH36" s="5"/>
      <c r="AI36" s="5"/>
    </row>
    <row r="37" spans="1:36" ht="21" customHeight="1">
      <c r="A37" s="175" t="s">
        <v>358</v>
      </c>
      <c r="B37" s="175" t="str">
        <f ca="1"/>
        <v/>
      </c>
      <c r="C37" s="175" t="str">
        <f ca="1"/>
        <v/>
      </c>
      <c r="D37" s="638" t="str">
        <f ca="1"/>
        <v>.       .000</v>
      </c>
      <c r="E37" s="175"/>
      <c r="F37" s="5"/>
      <c r="G37" s="175" t="s">
        <v>358</v>
      </c>
      <c r="H37" s="175" t="str">
        <f ca="1"/>
        <v/>
      </c>
      <c r="I37" s="175" t="str">
        <f ca="1"/>
        <v/>
      </c>
      <c r="J37" s="638" t="str">
        <f ca="1"/>
        <v>.       .000</v>
      </c>
      <c r="K37" s="175"/>
      <c r="L37" s="230"/>
      <c r="M37" s="2"/>
      <c r="N37" s="2"/>
      <c r="O37" s="2"/>
      <c r="P37" s="2"/>
      <c r="Q37" s="2"/>
      <c r="AF37" s="5"/>
      <c r="AG37" s="5"/>
      <c r="AH37" s="5"/>
      <c r="AI37" s="5"/>
      <c r="AJ37" s="2"/>
    </row>
    <row r="38" spans="1:36" ht="21" customHeight="1">
      <c r="A38" s="175" t="s">
        <v>359</v>
      </c>
      <c r="B38" s="175" t="str">
        <f ca="1"/>
        <v/>
      </c>
      <c r="C38" s="175" t="str">
        <f ca="1"/>
        <v/>
      </c>
      <c r="D38" s="638" t="str">
        <f ca="1"/>
        <v>.       .000</v>
      </c>
      <c r="E38" s="175"/>
      <c r="F38" s="5"/>
      <c r="G38" s="175" t="s">
        <v>359</v>
      </c>
      <c r="H38" s="175" t="str">
        <f ca="1"/>
        <v/>
      </c>
      <c r="I38" s="175" t="str">
        <f ca="1"/>
        <v/>
      </c>
      <c r="J38" s="638" t="str">
        <f ca="1"/>
        <v>.       .000</v>
      </c>
      <c r="K38" s="175"/>
      <c r="L38" s="230"/>
      <c r="M38" s="2"/>
      <c r="N38" s="2"/>
      <c r="O38" s="2"/>
      <c r="P38" s="2"/>
      <c r="Q38" s="2"/>
      <c r="AF38" s="5"/>
      <c r="AG38" s="5"/>
      <c r="AH38" s="5"/>
      <c r="AI38" s="2"/>
    </row>
    <row r="39" spans="1:36" ht="21" customHeight="1">
      <c r="A39" s="175" t="s">
        <v>360</v>
      </c>
      <c r="B39" s="175" t="str">
        <f ca="1"/>
        <v/>
      </c>
      <c r="C39" s="175" t="str">
        <f ca="1"/>
        <v/>
      </c>
      <c r="D39" s="638" t="str">
        <f ca="1"/>
        <v>.       .000</v>
      </c>
      <c r="E39" s="175"/>
      <c r="F39" s="5"/>
      <c r="G39" s="175" t="s">
        <v>360</v>
      </c>
      <c r="H39" s="175" t="str">
        <f ca="1"/>
        <v/>
      </c>
      <c r="I39" s="175" t="str">
        <f ca="1"/>
        <v/>
      </c>
      <c r="J39" s="638" t="str">
        <f ca="1"/>
        <v>.       .000</v>
      </c>
      <c r="K39" s="175"/>
      <c r="L39" s="230"/>
      <c r="M39" s="2"/>
      <c r="N39" s="2"/>
      <c r="O39" s="2"/>
      <c r="P39" s="2"/>
      <c r="Q39" s="2"/>
      <c r="AF39" s="5"/>
      <c r="AG39" s="5"/>
      <c r="AH39" s="5"/>
      <c r="AI39" s="2"/>
    </row>
    <row r="40" spans="1:36" ht="21" customHeight="1">
      <c r="A40" s="175" t="s">
        <v>361</v>
      </c>
      <c r="B40" s="175" t="str">
        <f ca="1"/>
        <v/>
      </c>
      <c r="C40" s="175" t="str">
        <f ca="1"/>
        <v/>
      </c>
      <c r="D40" s="638" t="str">
        <f ca="1"/>
        <v>.       .000</v>
      </c>
      <c r="E40" s="175"/>
      <c r="F40" s="5"/>
      <c r="G40" s="175" t="s">
        <v>361</v>
      </c>
      <c r="H40" s="175" t="str">
        <f ca="1"/>
        <v/>
      </c>
      <c r="I40" s="175" t="str">
        <f ca="1"/>
        <v/>
      </c>
      <c r="J40" s="638" t="str">
        <f ca="1"/>
        <v>.       .000</v>
      </c>
      <c r="K40" s="175"/>
      <c r="L40" s="230"/>
      <c r="M40" s="2"/>
      <c r="N40" s="2"/>
      <c r="O40" s="2"/>
      <c r="P40" s="2"/>
      <c r="Q40" s="2"/>
      <c r="R40" s="2"/>
      <c r="S40" s="2"/>
      <c r="T40" s="2"/>
      <c r="U40" s="2"/>
      <c r="V40" s="2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2"/>
    </row>
    <row r="41" spans="1:36" ht="21" customHeight="1">
      <c r="A41" s="175" t="s">
        <v>362</v>
      </c>
      <c r="B41" s="175" t="str">
        <f ca="1"/>
        <v/>
      </c>
      <c r="C41" s="175" t="str">
        <f ca="1"/>
        <v/>
      </c>
      <c r="D41" s="638" t="str">
        <f ca="1"/>
        <v>.       .000</v>
      </c>
      <c r="E41" s="175"/>
      <c r="F41" s="5"/>
      <c r="G41" s="175" t="s">
        <v>362</v>
      </c>
      <c r="H41" s="175" t="str">
        <f ca="1"/>
        <v/>
      </c>
      <c r="I41" s="175" t="str">
        <f ca="1"/>
        <v/>
      </c>
      <c r="J41" s="638" t="str">
        <f ca="1"/>
        <v>.       .000</v>
      </c>
      <c r="K41" s="175"/>
      <c r="L41" s="230"/>
      <c r="M41" s="2"/>
      <c r="N41" s="2"/>
      <c r="O41" s="2"/>
      <c r="P41" s="2"/>
      <c r="Q41" s="2"/>
      <c r="R41" s="2"/>
      <c r="S41" s="2"/>
      <c r="T41" s="2"/>
      <c r="U41" s="2"/>
      <c r="V41" s="2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2"/>
    </row>
    <row r="42" spans="1:36" ht="21" customHeight="1">
      <c r="A42" s="175" t="s">
        <v>363</v>
      </c>
      <c r="B42" s="175" t="str">
        <f ca="1"/>
        <v/>
      </c>
      <c r="C42" s="175" t="str">
        <f ca="1"/>
        <v/>
      </c>
      <c r="D42" s="638" t="str">
        <f ca="1"/>
        <v>.       .000</v>
      </c>
      <c r="E42" s="175"/>
      <c r="F42" s="5"/>
      <c r="G42" s="175" t="s">
        <v>363</v>
      </c>
      <c r="H42" s="175" t="str">
        <f ca="1"/>
        <v/>
      </c>
      <c r="I42" s="175" t="str">
        <f ca="1"/>
        <v/>
      </c>
      <c r="J42" s="638" t="str">
        <f ca="1"/>
        <v>.       .000</v>
      </c>
      <c r="K42" s="175"/>
      <c r="L42" s="230"/>
      <c r="M42" s="2"/>
      <c r="N42" s="2"/>
      <c r="O42" s="2"/>
      <c r="P42" s="2"/>
      <c r="Q42" s="2"/>
      <c r="AE42" s="5"/>
      <c r="AF42" s="5"/>
      <c r="AG42" s="5"/>
      <c r="AH42" s="5"/>
      <c r="AI42" s="2"/>
    </row>
    <row r="43" spans="1:36" ht="21" customHeight="1">
      <c r="A43" s="175" t="s">
        <v>364</v>
      </c>
      <c r="B43" s="175" t="str">
        <f ca="1"/>
        <v/>
      </c>
      <c r="C43" s="175" t="str">
        <f ca="1"/>
        <v/>
      </c>
      <c r="D43" s="638" t="str">
        <f ca="1"/>
        <v>.       .000</v>
      </c>
      <c r="E43" s="175"/>
      <c r="F43" s="5"/>
      <c r="G43" s="175" t="s">
        <v>364</v>
      </c>
      <c r="H43" s="175" t="str">
        <f ca="1"/>
        <v/>
      </c>
      <c r="I43" s="175" t="str">
        <f ca="1"/>
        <v/>
      </c>
      <c r="J43" s="638" t="str">
        <f ca="1"/>
        <v>.       .000</v>
      </c>
      <c r="K43" s="175"/>
      <c r="L43" s="230"/>
      <c r="M43" s="2"/>
      <c r="N43" s="2"/>
      <c r="O43" s="2"/>
      <c r="P43" s="2"/>
      <c r="Q43" s="2"/>
      <c r="AE43" s="5"/>
      <c r="AF43" s="5"/>
      <c r="AG43" s="5"/>
      <c r="AH43" s="5"/>
      <c r="AI43" s="2"/>
    </row>
    <row r="44" spans="1:36" ht="21" customHeight="1">
      <c r="A44" s="175" t="s">
        <v>365</v>
      </c>
      <c r="B44" s="175" t="str">
        <f ca="1"/>
        <v/>
      </c>
      <c r="C44" s="175" t="str">
        <f ca="1"/>
        <v/>
      </c>
      <c r="D44" s="638" t="str">
        <f ca="1"/>
        <v>.       .000</v>
      </c>
      <c r="E44" s="175"/>
      <c r="F44" s="5"/>
      <c r="G44" s="175" t="s">
        <v>365</v>
      </c>
      <c r="H44" s="175" t="str">
        <f ca="1"/>
        <v/>
      </c>
      <c r="I44" s="175" t="str">
        <f ca="1"/>
        <v/>
      </c>
      <c r="J44" s="638" t="str">
        <f ca="1"/>
        <v>.       .000</v>
      </c>
      <c r="K44" s="175"/>
      <c r="L44" s="230"/>
      <c r="M44" s="2"/>
      <c r="N44" s="2"/>
      <c r="O44" s="2"/>
      <c r="P44" s="2"/>
      <c r="Q44" s="2"/>
      <c r="AE44" s="5"/>
      <c r="AF44" s="5"/>
      <c r="AG44" s="5"/>
      <c r="AH44" s="5"/>
      <c r="AI44" s="2"/>
    </row>
    <row r="45" spans="1:36" ht="16.5" customHeight="1">
      <c r="M45" s="2"/>
      <c r="N45" s="2"/>
      <c r="O45" s="2"/>
      <c r="P45" s="2"/>
      <c r="Q45" s="2"/>
      <c r="AE45" s="5"/>
      <c r="AF45" s="5"/>
      <c r="AG45" s="5"/>
      <c r="AH45" s="5"/>
      <c r="AI45" s="2"/>
    </row>
    <row r="46" spans="1:36" ht="16.5" customHeight="1">
      <c r="M46" s="2"/>
      <c r="N46" s="2"/>
      <c r="O46" s="2"/>
      <c r="AE46" s="5"/>
      <c r="AF46" s="5"/>
      <c r="AG46" s="5"/>
      <c r="AH46" s="5"/>
      <c r="AI46" s="2"/>
    </row>
    <row r="47" spans="1:36" ht="16.5" customHeight="1">
      <c r="M47" s="2"/>
      <c r="N47" s="2"/>
      <c r="O47" s="2"/>
      <c r="AE47" s="5"/>
      <c r="AF47" s="5"/>
      <c r="AG47" s="5"/>
      <c r="AH47" s="5"/>
      <c r="AI47" s="2"/>
    </row>
    <row r="48" spans="1:36" ht="16.5" customHeight="1">
      <c r="M48" s="2"/>
      <c r="N48" s="2"/>
      <c r="O48" s="2"/>
      <c r="AE48" s="5"/>
      <c r="AF48" s="5"/>
      <c r="AG48" s="5"/>
      <c r="AH48" s="5"/>
      <c r="AI48" s="2"/>
    </row>
    <row r="49" spans="1:35" ht="16.5" customHeight="1">
      <c r="M49" s="2"/>
      <c r="N49" s="2"/>
      <c r="O49" s="2"/>
      <c r="AE49" s="5"/>
      <c r="AF49" s="5"/>
      <c r="AG49" s="5"/>
      <c r="AH49" s="5"/>
      <c r="AI49" s="2"/>
    </row>
    <row r="50" spans="1:35" ht="16.5" customHeight="1">
      <c r="A50" s="166"/>
      <c r="B50" s="166"/>
      <c r="C50" s="166"/>
      <c r="D50" s="166"/>
      <c r="E50" s="166"/>
      <c r="F50" s="166"/>
      <c r="G50" s="166"/>
      <c r="H50" s="166"/>
      <c r="I50" s="166"/>
      <c r="J50" s="166"/>
      <c r="K50" s="166"/>
      <c r="L50" s="166"/>
      <c r="M50" s="2"/>
      <c r="N50" s="2"/>
      <c r="O50" s="2"/>
      <c r="AE50" s="5"/>
      <c r="AF50" s="5"/>
      <c r="AG50" s="5"/>
      <c r="AH50" s="5"/>
      <c r="AI50" s="2"/>
    </row>
    <row r="51" spans="1:35" ht="16.5" customHeight="1">
      <c r="A51" s="167"/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2"/>
      <c r="N51" s="2"/>
      <c r="O51" s="2"/>
      <c r="AE51" s="5"/>
      <c r="AF51" s="5"/>
      <c r="AG51" s="5"/>
      <c r="AH51" s="5"/>
      <c r="AI51" s="2"/>
    </row>
    <row r="52" spans="1:35" ht="16.5" customHeight="1">
      <c r="A52" s="101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2"/>
      <c r="N52" s="2"/>
      <c r="O52" s="2"/>
      <c r="AE52" s="5"/>
      <c r="AF52" s="5"/>
      <c r="AG52" s="5"/>
      <c r="AH52" s="5"/>
      <c r="AI52" s="2"/>
    </row>
    <row r="53" spans="1:35" ht="17.25" customHeight="1">
      <c r="A53" s="647"/>
      <c r="B53" s="647"/>
      <c r="C53" s="647"/>
      <c r="D53" s="647"/>
      <c r="E53" s="647"/>
      <c r="F53" s="647"/>
      <c r="G53" s="647"/>
      <c r="H53" s="647"/>
      <c r="I53" s="647"/>
      <c r="J53" s="647"/>
      <c r="K53" s="647"/>
      <c r="L53" s="647"/>
      <c r="M53" s="2"/>
      <c r="N53" s="2"/>
      <c r="O53" s="2"/>
      <c r="AE53" s="5"/>
      <c r="AF53" s="5"/>
      <c r="AG53" s="5"/>
      <c r="AH53" s="5"/>
      <c r="AI53" s="2"/>
    </row>
    <row r="54" spans="1:35" ht="19.5" customHeight="1">
      <c r="A54" s="648"/>
      <c r="B54" s="648"/>
      <c r="C54" s="648"/>
      <c r="D54" s="648"/>
      <c r="E54" s="648"/>
      <c r="F54" s="648"/>
      <c r="G54" s="648"/>
      <c r="H54" s="648"/>
      <c r="I54" s="648"/>
      <c r="J54" s="648"/>
      <c r="K54" s="648"/>
      <c r="L54" s="648"/>
      <c r="M54" s="2"/>
      <c r="N54" s="2"/>
      <c r="O54" s="2"/>
      <c r="AE54" s="5"/>
      <c r="AF54" s="5"/>
      <c r="AG54" s="5"/>
      <c r="AH54" s="5"/>
      <c r="AI54" s="2"/>
    </row>
    <row r="55" spans="1:35" ht="19.5" customHeight="1">
      <c r="A55" s="230"/>
      <c r="B55" s="230"/>
      <c r="C55" s="230"/>
      <c r="D55" s="230"/>
      <c r="E55" s="230"/>
      <c r="F55" s="230"/>
      <c r="G55" s="230"/>
      <c r="H55" s="230"/>
      <c r="I55" s="230"/>
      <c r="J55" s="230"/>
      <c r="K55" s="230"/>
      <c r="L55" s="230"/>
      <c r="M55" s="2"/>
      <c r="N55" s="2"/>
      <c r="O55" s="2"/>
      <c r="AE55" s="5"/>
      <c r="AF55" s="5"/>
      <c r="AG55" s="5"/>
      <c r="AH55" s="5"/>
      <c r="AI55" s="2"/>
    </row>
    <row r="56" spans="1:35" ht="19.5" customHeight="1">
      <c r="A56" s="230"/>
      <c r="B56" s="230"/>
      <c r="C56" s="230"/>
      <c r="D56" s="230"/>
      <c r="E56" s="230"/>
      <c r="F56" s="230"/>
      <c r="G56" s="230"/>
      <c r="H56" s="230"/>
      <c r="I56" s="230"/>
      <c r="J56" s="230"/>
      <c r="K56" s="230"/>
      <c r="L56" s="230"/>
      <c r="M56" s="2"/>
      <c r="N56" s="2"/>
      <c r="O56" s="2"/>
      <c r="AE56" s="5"/>
      <c r="AF56" s="5"/>
      <c r="AG56" s="5"/>
      <c r="AH56" s="5"/>
      <c r="AI56" s="2"/>
    </row>
    <row r="57" spans="1:35" ht="19.5" customHeight="1">
      <c r="A57" s="230"/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"/>
      <c r="N57" s="2"/>
      <c r="O57" s="2"/>
      <c r="AE57" s="5"/>
      <c r="AF57" s="5"/>
      <c r="AG57" s="5"/>
      <c r="AH57" s="5"/>
      <c r="AI57" s="2"/>
    </row>
    <row r="58" spans="1:35" ht="19.5" customHeight="1">
      <c r="A58" s="230"/>
      <c r="B58" s="230"/>
      <c r="C58" s="230"/>
      <c r="D58" s="230"/>
      <c r="E58" s="230"/>
      <c r="F58" s="230"/>
      <c r="G58" s="230"/>
      <c r="H58" s="230"/>
      <c r="I58" s="230"/>
      <c r="J58" s="230"/>
      <c r="K58" s="230"/>
      <c r="L58" s="230"/>
      <c r="M58" s="2"/>
      <c r="N58" s="2"/>
      <c r="O58" s="2"/>
      <c r="AE58" s="5"/>
      <c r="AF58" s="5"/>
      <c r="AG58" s="5"/>
      <c r="AH58" s="5"/>
      <c r="AI58" s="2"/>
    </row>
    <row r="59" spans="1:35" ht="19.5" customHeight="1">
      <c r="A59" s="230"/>
      <c r="B59" s="230"/>
      <c r="C59" s="230"/>
      <c r="D59" s="230"/>
      <c r="E59" s="230"/>
      <c r="F59" s="230"/>
      <c r="G59" s="230"/>
      <c r="H59" s="230"/>
      <c r="I59" s="230"/>
      <c r="J59" s="230"/>
      <c r="K59" s="230"/>
      <c r="L59" s="230"/>
      <c r="M59" s="2"/>
      <c r="N59" s="2"/>
      <c r="O59" s="2"/>
      <c r="AE59" s="5"/>
      <c r="AF59" s="5"/>
      <c r="AG59" s="5"/>
      <c r="AH59" s="5"/>
      <c r="AI59" s="2"/>
    </row>
    <row r="60" spans="1:35" ht="19.5" customHeight="1">
      <c r="A60" s="230"/>
      <c r="B60" s="230"/>
      <c r="C60" s="230"/>
      <c r="D60" s="230"/>
      <c r="E60" s="230"/>
      <c r="F60" s="230"/>
      <c r="G60" s="230"/>
      <c r="H60" s="230"/>
      <c r="I60" s="230"/>
      <c r="J60" s="230"/>
      <c r="K60" s="230"/>
      <c r="L60" s="230"/>
      <c r="M60" s="2"/>
      <c r="N60" s="2"/>
      <c r="O60" s="2"/>
      <c r="AE60" s="5"/>
      <c r="AF60" s="5"/>
      <c r="AG60" s="5"/>
      <c r="AH60" s="5"/>
      <c r="AI60" s="2"/>
    </row>
    <row r="61" spans="1:35" ht="19.5" customHeight="1">
      <c r="A61" s="230"/>
      <c r="B61" s="230"/>
      <c r="C61" s="230"/>
      <c r="D61" s="230"/>
      <c r="E61" s="230"/>
      <c r="F61" s="230"/>
      <c r="G61" s="230"/>
      <c r="H61" s="230"/>
      <c r="I61" s="230"/>
      <c r="J61" s="230"/>
      <c r="K61" s="230"/>
      <c r="L61" s="230"/>
      <c r="M61" s="2"/>
      <c r="N61" s="2"/>
      <c r="O61" s="2"/>
      <c r="AE61" s="5"/>
      <c r="AF61" s="5"/>
      <c r="AG61" s="5"/>
      <c r="AH61" s="5"/>
      <c r="AI61" s="2"/>
    </row>
    <row r="62" spans="1:35" ht="19.5" customHeight="1">
      <c r="A62" s="230"/>
      <c r="B62" s="230"/>
      <c r="C62" s="230"/>
      <c r="D62" s="230"/>
      <c r="E62" s="230"/>
      <c r="F62" s="230"/>
      <c r="G62" s="230"/>
      <c r="H62" s="230"/>
      <c r="I62" s="230"/>
      <c r="J62" s="230"/>
      <c r="K62" s="230"/>
      <c r="L62" s="230"/>
      <c r="M62" s="2"/>
      <c r="N62" s="2"/>
      <c r="O62" s="2"/>
      <c r="AE62" s="5"/>
      <c r="AF62" s="5"/>
      <c r="AG62" s="5"/>
      <c r="AH62" s="5"/>
      <c r="AI62" s="2"/>
    </row>
    <row r="63" spans="1:35" ht="19.5" customHeight="1">
      <c r="A63" s="230"/>
      <c r="B63" s="230"/>
      <c r="C63" s="230"/>
      <c r="D63" s="230"/>
      <c r="E63" s="230"/>
      <c r="F63" s="230"/>
      <c r="G63" s="230"/>
      <c r="H63" s="230"/>
      <c r="I63" s="230"/>
      <c r="J63" s="230"/>
      <c r="K63" s="230"/>
      <c r="L63" s="230"/>
      <c r="M63" s="2"/>
      <c r="N63" s="2"/>
      <c r="O63" s="2"/>
      <c r="AE63" s="5"/>
      <c r="AF63" s="5"/>
      <c r="AG63" s="5"/>
      <c r="AH63" s="5"/>
      <c r="AI63" s="2"/>
    </row>
    <row r="64" spans="1:35" ht="19.5" customHeight="1">
      <c r="A64" s="230"/>
      <c r="B64" s="230"/>
      <c r="C64" s="230"/>
      <c r="D64" s="230"/>
      <c r="E64" s="230"/>
      <c r="F64" s="230"/>
      <c r="G64" s="230"/>
      <c r="H64" s="230"/>
      <c r="I64" s="230"/>
      <c r="J64" s="230"/>
      <c r="K64" s="230"/>
      <c r="L64" s="230"/>
      <c r="M64" s="2"/>
      <c r="N64" s="2"/>
      <c r="O64" s="2"/>
      <c r="AE64" s="5"/>
      <c r="AF64" s="5"/>
      <c r="AG64" s="5"/>
      <c r="AH64" s="5"/>
      <c r="AI64" s="2"/>
    </row>
    <row r="65" spans="1:35" ht="19.5" customHeight="1">
      <c r="A65" s="230"/>
      <c r="B65" s="230"/>
      <c r="C65" s="230"/>
      <c r="D65" s="230"/>
      <c r="E65" s="230"/>
      <c r="F65" s="230"/>
      <c r="G65" s="230"/>
      <c r="H65" s="230"/>
      <c r="I65" s="230"/>
      <c r="J65" s="230"/>
      <c r="K65" s="230"/>
      <c r="L65" s="230"/>
      <c r="M65" s="2"/>
      <c r="N65" s="2"/>
      <c r="O65" s="2"/>
      <c r="AE65" s="5"/>
      <c r="AF65" s="5"/>
      <c r="AG65" s="5"/>
      <c r="AH65" s="5"/>
      <c r="AI65" s="2"/>
    </row>
    <row r="66" spans="1:35" ht="19.5" customHeight="1">
      <c r="A66" s="230"/>
      <c r="B66" s="230"/>
      <c r="C66" s="230"/>
      <c r="D66" s="230"/>
      <c r="E66" s="230"/>
      <c r="F66" s="230"/>
      <c r="G66" s="230"/>
      <c r="H66" s="230"/>
      <c r="I66" s="230"/>
      <c r="J66" s="230"/>
      <c r="K66" s="230"/>
      <c r="L66" s="230"/>
      <c r="M66" s="2"/>
      <c r="N66" s="2"/>
      <c r="O66" s="2"/>
      <c r="AE66" s="5"/>
      <c r="AF66" s="5"/>
      <c r="AG66" s="5"/>
      <c r="AH66" s="5"/>
      <c r="AI66" s="2"/>
    </row>
    <row r="67" spans="1:35" ht="16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AE67" s="5"/>
      <c r="AF67" s="5"/>
      <c r="AG67" s="5"/>
      <c r="AH67" s="5"/>
      <c r="AI67" s="2"/>
    </row>
    <row r="68" spans="1:35" s="595" customFormat="1" ht="16.5" customHeight="1">
      <c r="A68" s="630"/>
      <c r="B68" s="630"/>
      <c r="C68" s="630"/>
      <c r="D68" s="630"/>
      <c r="E68" s="630"/>
      <c r="F68" s="630"/>
      <c r="G68" s="630"/>
      <c r="H68" s="630"/>
      <c r="I68" s="630"/>
      <c r="J68" s="630"/>
      <c r="K68" s="630"/>
      <c r="L68" s="630"/>
      <c r="M68" s="2"/>
      <c r="N68" s="2"/>
      <c r="O68" s="2"/>
      <c r="AE68" s="5"/>
      <c r="AF68" s="5"/>
      <c r="AG68" s="5"/>
      <c r="AH68" s="5"/>
      <c r="AI68" s="2"/>
    </row>
    <row r="69" spans="1:35" s="595" customFormat="1" ht="16.5" customHeight="1">
      <c r="A69" s="630"/>
      <c r="B69" s="630"/>
      <c r="C69" s="630"/>
      <c r="D69" s="630"/>
      <c r="E69" s="630"/>
      <c r="F69" s="630"/>
      <c r="G69" s="630"/>
      <c r="H69" s="630"/>
      <c r="I69" s="630"/>
      <c r="J69" s="630"/>
      <c r="K69" s="630"/>
      <c r="L69" s="630"/>
      <c r="M69" s="2"/>
      <c r="N69" s="2"/>
      <c r="O69" s="2"/>
      <c r="AE69" s="5"/>
      <c r="AF69" s="5"/>
      <c r="AG69" s="5"/>
      <c r="AH69" s="5"/>
      <c r="AI69" s="2"/>
    </row>
    <row r="70" spans="1:35" ht="16.5" customHeight="1">
      <c r="M70" s="2"/>
      <c r="N70" s="2"/>
      <c r="O70" s="2"/>
      <c r="AD70" s="5"/>
      <c r="AE70" s="5"/>
      <c r="AF70" s="5"/>
      <c r="AG70" s="5"/>
      <c r="AH70" s="5"/>
      <c r="AI70" s="2"/>
    </row>
    <row r="71" spans="1:35" ht="16.5" customHeight="1">
      <c r="M71" s="2"/>
      <c r="N71" s="2"/>
      <c r="O71" s="2"/>
      <c r="P71" s="2"/>
      <c r="Q71" s="2"/>
      <c r="R71" s="2"/>
      <c r="S71" s="2"/>
      <c r="T71" s="2"/>
      <c r="U71" s="2"/>
      <c r="V71" s="2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2"/>
    </row>
    <row r="72" spans="1:35" ht="16.5" customHeight="1">
      <c r="A72" s="166"/>
      <c r="B72" s="166"/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2"/>
      <c r="N72" s="2"/>
      <c r="O72" s="2"/>
      <c r="P72" s="2"/>
      <c r="Q72" s="2"/>
      <c r="R72" s="2"/>
      <c r="S72" s="2"/>
      <c r="T72" s="2"/>
      <c r="U72" s="2"/>
      <c r="V72" s="2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2"/>
    </row>
    <row r="73" spans="1:35" ht="16.5" customHeight="1">
      <c r="A73" s="167"/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2"/>
      <c r="N73" s="2"/>
      <c r="O73" s="2"/>
      <c r="P73" s="2"/>
      <c r="Q73" s="2"/>
      <c r="R73" s="2"/>
      <c r="S73" s="2"/>
      <c r="T73" s="2"/>
      <c r="U73" s="2"/>
      <c r="V73" s="2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2"/>
    </row>
    <row r="74" spans="1:35" ht="16.5" customHeight="1">
      <c r="A74" s="101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2"/>
      <c r="N74" s="2"/>
      <c r="O74" s="2"/>
      <c r="P74" s="2"/>
      <c r="Q74" s="2"/>
      <c r="R74" s="2"/>
      <c r="S74" s="2"/>
      <c r="T74" s="2"/>
      <c r="U74" s="2"/>
      <c r="V74" s="2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2"/>
    </row>
    <row r="75" spans="1:35" ht="16.5" customHeight="1">
      <c r="A75" s="647"/>
      <c r="B75" s="647"/>
      <c r="C75" s="647"/>
      <c r="D75" s="647"/>
      <c r="E75" s="647"/>
      <c r="F75" s="647"/>
      <c r="G75" s="647"/>
      <c r="H75" s="647"/>
      <c r="I75" s="647"/>
      <c r="J75" s="647"/>
      <c r="K75" s="647"/>
      <c r="L75" s="647"/>
      <c r="M75" s="2"/>
      <c r="N75" s="2"/>
      <c r="O75" s="2"/>
      <c r="P75" s="2"/>
      <c r="Q75" s="2"/>
      <c r="R75" s="2"/>
      <c r="S75" s="2"/>
      <c r="T75" s="2"/>
      <c r="U75" s="2"/>
      <c r="V75" s="2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2"/>
    </row>
    <row r="76" spans="1:35" ht="16.5" customHeight="1">
      <c r="A76" s="649"/>
      <c r="B76" s="649"/>
      <c r="C76" s="649"/>
      <c r="D76" s="649"/>
      <c r="E76" s="649"/>
      <c r="F76" s="649"/>
      <c r="G76" s="649"/>
      <c r="H76" s="649"/>
      <c r="I76" s="649"/>
      <c r="J76" s="649"/>
      <c r="K76" s="649"/>
      <c r="L76" s="649"/>
      <c r="M76" s="2"/>
      <c r="N76" s="2"/>
      <c r="O76" s="2"/>
      <c r="P76" s="2"/>
      <c r="Q76" s="2"/>
      <c r="R76" s="2"/>
      <c r="S76" s="2"/>
      <c r="T76" s="2"/>
      <c r="U76" s="2"/>
      <c r="V76" s="2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2"/>
    </row>
    <row r="77" spans="1:35" ht="17.25" customHeight="1">
      <c r="A77" s="650"/>
      <c r="B77" s="650"/>
      <c r="C77" s="650"/>
      <c r="D77" s="650"/>
      <c r="E77" s="650"/>
      <c r="F77" s="650"/>
      <c r="G77" s="650"/>
      <c r="H77" s="650"/>
      <c r="I77" s="650"/>
      <c r="J77" s="650"/>
      <c r="K77" s="650"/>
      <c r="L77" s="650"/>
      <c r="M77" s="2"/>
      <c r="N77" s="2"/>
      <c r="O77" s="2"/>
      <c r="P77" s="2"/>
      <c r="Q77" s="2"/>
      <c r="R77" s="2"/>
      <c r="S77" s="2"/>
      <c r="T77" s="2"/>
      <c r="U77" s="2"/>
      <c r="V77" s="2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2"/>
    </row>
    <row r="78" spans="1:35" ht="19.5" customHeight="1">
      <c r="A78" s="651"/>
      <c r="B78" s="651"/>
      <c r="C78" s="651"/>
      <c r="D78" s="651"/>
      <c r="E78" s="651"/>
      <c r="F78" s="651"/>
      <c r="G78" s="651"/>
      <c r="H78" s="651"/>
      <c r="I78" s="651"/>
      <c r="J78" s="651"/>
      <c r="K78" s="651"/>
      <c r="L78" s="651"/>
      <c r="M78" s="2"/>
      <c r="N78" s="2"/>
      <c r="O78" s="2"/>
      <c r="P78" s="2"/>
      <c r="Q78" s="2"/>
      <c r="R78" s="2"/>
      <c r="S78" s="2"/>
      <c r="T78" s="2"/>
      <c r="U78" s="2"/>
      <c r="V78" s="2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2"/>
    </row>
    <row r="79" spans="1:35" ht="19.5" customHeight="1">
      <c r="A79" s="632"/>
      <c r="B79" s="632"/>
      <c r="C79" s="632"/>
      <c r="D79" s="632"/>
      <c r="E79" s="632"/>
      <c r="F79" s="632"/>
      <c r="G79" s="632"/>
      <c r="H79" s="632"/>
      <c r="I79" s="632"/>
      <c r="J79" s="632"/>
      <c r="K79" s="632"/>
      <c r="L79" s="632"/>
      <c r="M79" s="2"/>
      <c r="N79" s="2"/>
      <c r="O79" s="2"/>
      <c r="P79" s="2"/>
      <c r="Q79" s="2"/>
      <c r="R79" s="2"/>
      <c r="S79" s="2"/>
      <c r="T79" s="2"/>
      <c r="U79" s="2"/>
      <c r="V79" s="2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2"/>
    </row>
    <row r="80" spans="1:35" ht="19.5" customHeight="1">
      <c r="A80" s="632"/>
      <c r="B80" s="632"/>
      <c r="C80" s="632"/>
      <c r="D80" s="632"/>
      <c r="E80" s="632"/>
      <c r="F80" s="632"/>
      <c r="G80" s="632"/>
      <c r="H80" s="632"/>
      <c r="I80" s="632"/>
      <c r="J80" s="632"/>
      <c r="K80" s="632"/>
      <c r="L80" s="632"/>
      <c r="M80" s="2"/>
      <c r="N80" s="2"/>
      <c r="O80" s="2"/>
      <c r="P80" s="2"/>
      <c r="Q80" s="2"/>
      <c r="R80" s="2"/>
      <c r="S80" s="2"/>
      <c r="T80" s="2"/>
      <c r="U80" s="2"/>
      <c r="V80" s="2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2"/>
    </row>
    <row r="81" spans="1:35" ht="19.5" customHeight="1">
      <c r="A81" s="632"/>
      <c r="B81" s="632"/>
      <c r="C81" s="632"/>
      <c r="D81" s="632"/>
      <c r="E81" s="632"/>
      <c r="F81" s="632"/>
      <c r="G81" s="632"/>
      <c r="H81" s="632"/>
      <c r="I81" s="632"/>
      <c r="J81" s="632"/>
      <c r="K81" s="632"/>
      <c r="L81" s="632"/>
      <c r="M81" s="2"/>
      <c r="N81" s="2"/>
      <c r="O81" s="2"/>
      <c r="P81" s="2"/>
      <c r="Q81" s="2"/>
      <c r="R81" s="2"/>
      <c r="S81" s="2"/>
      <c r="T81" s="2"/>
      <c r="U81" s="2"/>
      <c r="V81" s="2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2"/>
    </row>
    <row r="82" spans="1:35" ht="19.5" customHeight="1">
      <c r="A82" s="632"/>
      <c r="B82" s="632"/>
      <c r="C82" s="632"/>
      <c r="D82" s="632"/>
      <c r="E82" s="632"/>
      <c r="F82" s="632"/>
      <c r="G82" s="632"/>
      <c r="H82" s="632"/>
      <c r="I82" s="632"/>
      <c r="J82" s="632"/>
      <c r="K82" s="632"/>
      <c r="L82" s="632"/>
      <c r="M82" s="2"/>
      <c r="N82" s="2"/>
      <c r="O82" s="2"/>
      <c r="P82" s="2"/>
      <c r="Q82" s="2"/>
      <c r="R82" s="2"/>
      <c r="S82" s="2"/>
      <c r="T82" s="2"/>
      <c r="U82" s="2"/>
      <c r="V82" s="2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2"/>
    </row>
    <row r="83" spans="1:35" ht="19.5" customHeight="1">
      <c r="A83" s="632"/>
      <c r="B83" s="632"/>
      <c r="C83" s="632"/>
      <c r="D83" s="632"/>
      <c r="E83" s="632"/>
      <c r="F83" s="632"/>
      <c r="G83" s="632"/>
      <c r="H83" s="632"/>
      <c r="I83" s="632"/>
      <c r="J83" s="632"/>
      <c r="K83" s="632"/>
      <c r="L83" s="632"/>
      <c r="M83" s="2"/>
      <c r="N83" s="2"/>
      <c r="O83" s="2"/>
      <c r="P83" s="2"/>
      <c r="Q83" s="2"/>
      <c r="R83" s="2"/>
      <c r="S83" s="2"/>
      <c r="T83" s="2"/>
      <c r="U83" s="2"/>
      <c r="V83" s="2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2"/>
    </row>
    <row r="84" spans="1:35" ht="19.5" customHeight="1">
      <c r="A84" s="632"/>
      <c r="B84" s="632"/>
      <c r="C84" s="632"/>
      <c r="D84" s="632"/>
      <c r="E84" s="632"/>
      <c r="F84" s="632"/>
      <c r="G84" s="632"/>
      <c r="H84" s="632"/>
      <c r="I84" s="632"/>
      <c r="J84" s="632"/>
      <c r="K84" s="632"/>
      <c r="L84" s="632"/>
      <c r="M84" s="2"/>
      <c r="N84" s="2"/>
      <c r="O84" s="2"/>
      <c r="P84" s="2"/>
      <c r="Q84" s="2"/>
      <c r="R84" s="2"/>
      <c r="S84" s="2"/>
      <c r="T84" s="2"/>
      <c r="U84" s="2"/>
      <c r="V84" s="2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2"/>
    </row>
    <row r="85" spans="1:35" ht="19.5" customHeight="1">
      <c r="A85" s="632"/>
      <c r="B85" s="632"/>
      <c r="C85" s="632"/>
      <c r="D85" s="632"/>
      <c r="E85" s="632"/>
      <c r="F85" s="632"/>
      <c r="G85" s="632"/>
      <c r="H85" s="632"/>
      <c r="I85" s="632"/>
      <c r="J85" s="632"/>
      <c r="K85" s="632"/>
      <c r="L85" s="632"/>
      <c r="M85" s="2"/>
      <c r="N85" s="2"/>
      <c r="O85" s="2"/>
      <c r="P85" s="2"/>
      <c r="Q85" s="2"/>
      <c r="R85" s="2"/>
      <c r="S85" s="2"/>
      <c r="T85" s="2"/>
      <c r="U85" s="2"/>
      <c r="V85" s="2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2"/>
    </row>
    <row r="86" spans="1:35" ht="19.5" customHeight="1">
      <c r="A86" s="632"/>
      <c r="B86" s="632"/>
      <c r="C86" s="632"/>
      <c r="D86" s="632"/>
      <c r="E86" s="632"/>
      <c r="F86" s="632"/>
      <c r="G86" s="632"/>
      <c r="H86" s="632"/>
      <c r="I86" s="632"/>
      <c r="J86" s="632"/>
      <c r="K86" s="632"/>
      <c r="L86" s="632"/>
      <c r="M86" s="2"/>
      <c r="P86" s="2"/>
      <c r="Q86" s="2"/>
      <c r="R86" s="2"/>
      <c r="S86" s="2"/>
      <c r="T86" s="2"/>
      <c r="U86" s="2"/>
      <c r="V86" s="2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2"/>
    </row>
    <row r="87" spans="1:35" ht="19.5" customHeight="1">
      <c r="A87" s="632"/>
      <c r="B87" s="632"/>
      <c r="C87" s="632"/>
      <c r="D87" s="632"/>
      <c r="E87" s="632"/>
      <c r="F87" s="632"/>
      <c r="G87" s="632"/>
      <c r="H87" s="632"/>
      <c r="I87" s="632"/>
      <c r="J87" s="632"/>
      <c r="K87" s="632"/>
      <c r="L87" s="632"/>
      <c r="M87" s="2"/>
      <c r="Q87" s="2"/>
      <c r="R87" s="2"/>
      <c r="S87" s="2"/>
      <c r="T87" s="2"/>
      <c r="U87" s="2"/>
      <c r="V87" s="2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2"/>
    </row>
    <row r="88" spans="1:35" ht="19.5" customHeight="1">
      <c r="A88" s="632"/>
      <c r="B88" s="632"/>
      <c r="C88" s="632"/>
      <c r="D88" s="632"/>
      <c r="E88" s="632"/>
      <c r="F88" s="632"/>
      <c r="G88" s="632"/>
      <c r="H88" s="632"/>
      <c r="I88" s="632"/>
      <c r="J88" s="632"/>
      <c r="K88" s="632"/>
      <c r="L88" s="632"/>
      <c r="M88" s="2"/>
      <c r="Q88" s="2"/>
      <c r="R88" s="2"/>
      <c r="S88" s="2"/>
      <c r="T88" s="2"/>
      <c r="U88" s="2"/>
      <c r="V88" s="2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2"/>
    </row>
    <row r="89" spans="1:35" ht="16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Q89" s="2"/>
      <c r="R89" s="2"/>
      <c r="S89" s="2"/>
      <c r="T89" s="2"/>
      <c r="U89" s="2"/>
      <c r="V89" s="2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2"/>
    </row>
    <row r="90" spans="1:35" ht="16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Q90" s="2"/>
      <c r="R90" s="2"/>
      <c r="S90" s="2"/>
      <c r="T90" s="2"/>
      <c r="U90" s="2"/>
      <c r="V90" s="2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2"/>
    </row>
    <row r="91" spans="1:35" ht="16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Q91" s="2"/>
      <c r="R91" s="2"/>
      <c r="S91" s="2"/>
      <c r="T91" s="2"/>
      <c r="U91" s="2"/>
      <c r="V91" s="2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2"/>
    </row>
    <row r="92" spans="1:35" ht="16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Q92" s="2"/>
      <c r="R92" s="2"/>
      <c r="S92" s="2"/>
      <c r="T92" s="2"/>
      <c r="U92" s="2"/>
      <c r="V92" s="2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2"/>
    </row>
    <row r="93" spans="1:35" ht="16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Q93" s="2"/>
      <c r="R93" s="2"/>
      <c r="S93" s="2"/>
      <c r="T93" s="2"/>
      <c r="U93" s="2"/>
      <c r="V93" s="2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2"/>
    </row>
    <row r="94" spans="1:35" ht="15.75" customHeight="1">
      <c r="R94" s="2"/>
      <c r="S94" s="2"/>
      <c r="T94" s="2"/>
      <c r="U94" s="2"/>
      <c r="V94" s="2"/>
      <c r="W94" s="5"/>
      <c r="X94" s="5"/>
      <c r="Y94" s="5"/>
      <c r="Z94" s="5"/>
      <c r="AA94" s="5"/>
      <c r="AB94" s="5"/>
      <c r="AC94" s="5"/>
      <c r="AD94" s="5"/>
      <c r="AE94" s="5"/>
    </row>
    <row r="95" spans="1:35" ht="15.75" customHeight="1">
      <c r="R95" s="2"/>
      <c r="S95" s="2"/>
      <c r="T95" s="2"/>
      <c r="U95" s="2"/>
      <c r="V95" s="2"/>
      <c r="W95" s="5"/>
      <c r="X95" s="5"/>
      <c r="Y95" s="5"/>
      <c r="Z95" s="5"/>
      <c r="AA95" s="5"/>
      <c r="AB95" s="5"/>
      <c r="AC95" s="5"/>
      <c r="AD95" s="5"/>
      <c r="AE95" s="5"/>
    </row>
    <row r="96" spans="1:35" ht="15.75" customHeight="1">
      <c r="R96" s="2"/>
      <c r="S96" s="2"/>
      <c r="T96" s="2"/>
      <c r="U96" s="2"/>
      <c r="V96" s="2"/>
      <c r="W96" s="5"/>
      <c r="X96" s="5"/>
      <c r="Y96" s="5"/>
      <c r="Z96" s="5"/>
      <c r="AA96" s="5"/>
      <c r="AB96" s="5"/>
      <c r="AC96" s="5"/>
      <c r="AD96" s="5"/>
    </row>
    <row r="97" spans="18:30" ht="15.75" customHeight="1">
      <c r="R97" s="2"/>
      <c r="S97" s="2"/>
      <c r="T97" s="2"/>
      <c r="U97" s="2"/>
      <c r="V97" s="2"/>
      <c r="W97" s="5"/>
      <c r="X97" s="5"/>
      <c r="Y97" s="5"/>
      <c r="Z97" s="5"/>
      <c r="AA97" s="5"/>
      <c r="AB97" s="5"/>
      <c r="AC97" s="5"/>
      <c r="AD97" s="5"/>
    </row>
    <row r="98" spans="18:30" ht="15.75" customHeight="1">
      <c r="R98" s="2"/>
      <c r="S98" s="2"/>
      <c r="T98" s="2"/>
      <c r="U98" s="2"/>
      <c r="V98" s="2"/>
      <c r="W98" s="5"/>
      <c r="X98" s="5"/>
      <c r="Y98" s="5"/>
      <c r="Z98" s="5"/>
      <c r="AA98" s="5"/>
      <c r="AB98" s="5"/>
      <c r="AC98" s="5"/>
      <c r="AD98" s="5"/>
    </row>
    <row r="99" spans="18:30" ht="15.75" customHeight="1">
      <c r="R99" s="2"/>
      <c r="S99" s="2"/>
      <c r="T99" s="2"/>
      <c r="U99" s="2"/>
      <c r="V99" s="2"/>
      <c r="W99" s="5"/>
      <c r="X99" s="5"/>
      <c r="Y99" s="5"/>
      <c r="Z99" s="5"/>
      <c r="AA99" s="5"/>
      <c r="AB99" s="5"/>
      <c r="AC99" s="5"/>
      <c r="AD99" s="5"/>
    </row>
    <row r="100" spans="18:30" ht="15.75" customHeight="1"/>
    <row r="101" spans="18:30" ht="15.75" customHeight="1"/>
    <row r="102" spans="18:30" ht="15.75" customHeight="1"/>
    <row r="103" spans="18:30" ht="15.75" customHeight="1"/>
    <row r="104" spans="18:30" ht="15.75" customHeight="1"/>
    <row r="105" spans="18:30" ht="15.75" customHeight="1"/>
    <row r="106" spans="18:30" ht="15.75" customHeight="1"/>
    <row r="107" spans="18:30" ht="15.75" customHeight="1"/>
    <row r="108" spans="18:30" ht="15.75" customHeight="1"/>
    <row r="109" spans="18:30" ht="15.75" customHeight="1"/>
    <row r="110" spans="18:30" ht="15.75" customHeight="1"/>
    <row r="111" spans="18:30" ht="15.75" customHeight="1"/>
    <row r="112" spans="18:30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22">
    <mergeCell ref="A29:B29"/>
    <mergeCell ref="G29:H29"/>
    <mergeCell ref="A25:E25"/>
    <mergeCell ref="G25:K25"/>
    <mergeCell ref="A24:E24"/>
    <mergeCell ref="G24:K24"/>
    <mergeCell ref="A7:B7"/>
    <mergeCell ref="G7:H7"/>
    <mergeCell ref="A27:E27"/>
    <mergeCell ref="A26:E26"/>
    <mergeCell ref="G26:K26"/>
    <mergeCell ref="G27:K27"/>
    <mergeCell ref="G5:K5"/>
    <mergeCell ref="A3:E3"/>
    <mergeCell ref="A4:E4"/>
    <mergeCell ref="A5:E5"/>
    <mergeCell ref="A2:E2"/>
    <mergeCell ref="A1:K1"/>
    <mergeCell ref="N1:O4"/>
    <mergeCell ref="G3:K3"/>
    <mergeCell ref="G2:K2"/>
    <mergeCell ref="G4:K4"/>
  </mergeCells>
  <pageMargins left="0.15748031496062992" right="0.11811023622047245" top="0.11811023622047245" bottom="0.1181102362204724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Spinner 1">
              <controlPr defaultSize="0" autoPict="0">
                <anchor moveWithCells="1" sizeWithCells="1">
                  <from>
                    <xdr:col>12</xdr:col>
                    <xdr:colOff>22860</xdr:colOff>
                    <xdr:row>2</xdr:row>
                    <xdr:rowOff>76200</xdr:rowOff>
                  </from>
                  <to>
                    <xdr:col>12</xdr:col>
                    <xdr:colOff>647700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4"/>
  <sheetViews>
    <sheetView workbookViewId="0">
      <selection activeCell="C11" sqref="C11"/>
    </sheetView>
  </sheetViews>
  <sheetFormatPr defaultRowHeight="15.6"/>
  <sheetData>
    <row r="3" spans="1:2">
      <c r="B3">
        <v>12321</v>
      </c>
    </row>
    <row r="4" spans="1:2">
      <c r="A4">
        <v>123</v>
      </c>
      <c r="B4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DS 2019</vt:lpstr>
      <vt:lpstr>Receipt</vt:lpstr>
      <vt:lpstr>DATA</vt:lpstr>
      <vt:lpstr>Meter</vt:lpstr>
      <vt:lpstr>Card</vt:lpstr>
      <vt:lpstr>Sheet8</vt:lpstr>
      <vt:lpstr>DATA!CT_MTD</vt:lpstr>
      <vt:lpstr>Card!Print_Area</vt:lpstr>
      <vt:lpstr>DATA!Print_Area</vt:lpstr>
      <vt:lpstr>'DS 2019'!Print_Area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MyPC</dc:creator>
  <cp:lastModifiedBy>Toan Dang</cp:lastModifiedBy>
  <cp:lastPrinted>2020-02-20T01:53:14Z</cp:lastPrinted>
  <dcterms:created xsi:type="dcterms:W3CDTF">2019-03-13T09:29:47Z</dcterms:created>
  <dcterms:modified xsi:type="dcterms:W3CDTF">2022-03-23T14:56:01Z</dcterms:modified>
</cp:coreProperties>
</file>